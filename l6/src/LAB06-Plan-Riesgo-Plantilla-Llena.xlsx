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UNSA 2026\PAR\CALIDAD DE SOFTWARE\GUIAS LABORATORIO\SEGUNDO PARCIAL\"/>
    </mc:Choice>
  </mc:AlternateContent>
  <xr:revisionPtr revIDLastSave="0" documentId="8_{903582BA-2083-4491-B9C2-9D9100B5B5FB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Instrucciones" sheetId="1" r:id="rId1"/>
    <sheet name="Ejemplo de análisis" sheetId="2" r:id="rId2"/>
    <sheet name="Tablas AR" sheetId="3" r:id="rId3"/>
    <sheet name="Catálogo amenazas" sheetId="4" r:id="rId4"/>
    <sheet name="Activos" sheetId="5" r:id="rId5"/>
    <sheet name="Cruces Activo-Amenaza" sheetId="6" r:id="rId6"/>
    <sheet name="Análisis de Riesg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7" l="1"/>
  <c r="A49" i="7"/>
  <c r="A48" i="7"/>
  <c r="A47" i="7"/>
  <c r="A46" i="7"/>
  <c r="A45" i="7"/>
  <c r="A44" i="7"/>
  <c r="A43" i="7"/>
  <c r="A25" i="7"/>
  <c r="A24" i="7"/>
  <c r="A23" i="7"/>
  <c r="A22" i="7"/>
  <c r="A21" i="7"/>
  <c r="A20" i="7"/>
  <c r="A19" i="7"/>
  <c r="A18" i="7"/>
  <c r="A17" i="7"/>
  <c r="A42" i="7" s="1"/>
  <c r="A16" i="7"/>
  <c r="A41" i="7" s="1"/>
  <c r="A15" i="7"/>
  <c r="A40" i="7" s="1"/>
  <c r="A14" i="7"/>
  <c r="A39" i="7" s="1"/>
  <c r="A13" i="7"/>
  <c r="A38" i="7" s="1"/>
  <c r="A12" i="7"/>
  <c r="A37" i="7" s="1"/>
  <c r="A11" i="7"/>
  <c r="A36" i="7" s="1"/>
  <c r="A10" i="7"/>
  <c r="A35" i="7" s="1"/>
  <c r="A9" i="7"/>
  <c r="A34" i="7" s="1"/>
  <c r="A8" i="7"/>
  <c r="A33" i="7" s="1"/>
  <c r="A7" i="7"/>
  <c r="A32" i="7" s="1"/>
  <c r="A6" i="7"/>
  <c r="A31" i="7" s="1"/>
  <c r="L25" i="6"/>
  <c r="E25" i="6"/>
  <c r="C25" i="7" s="1"/>
  <c r="C25" i="6"/>
  <c r="B25" i="7" s="1"/>
  <c r="L24" i="6"/>
  <c r="E24" i="6"/>
  <c r="C24" i="7" s="1"/>
  <c r="C24" i="6"/>
  <c r="B24" i="7" s="1"/>
  <c r="L23" i="6"/>
  <c r="E23" i="6"/>
  <c r="C23" i="7" s="1"/>
  <c r="C23" i="6"/>
  <c r="B23" i="7" s="1"/>
  <c r="L22" i="6"/>
  <c r="E22" i="6"/>
  <c r="C22" i="7" s="1"/>
  <c r="C22" i="6"/>
  <c r="B22" i="7" s="1"/>
  <c r="L21" i="6"/>
  <c r="E21" i="6"/>
  <c r="C21" i="7" s="1"/>
  <c r="C21" i="6"/>
  <c r="B21" i="7" s="1"/>
  <c r="L20" i="6"/>
  <c r="E20" i="6"/>
  <c r="C20" i="7" s="1"/>
  <c r="C20" i="6"/>
  <c r="B20" i="7" s="1"/>
  <c r="L19" i="6"/>
  <c r="E19" i="6"/>
  <c r="C19" i="7" s="1"/>
  <c r="C19" i="6"/>
  <c r="B19" i="7" s="1"/>
  <c r="L18" i="6"/>
  <c r="E18" i="6"/>
  <c r="C18" i="7" s="1"/>
  <c r="C18" i="6"/>
  <c r="B18" i="7" s="1"/>
  <c r="L17" i="6"/>
  <c r="E17" i="6"/>
  <c r="C17" i="7" s="1"/>
  <c r="C17" i="6"/>
  <c r="B17" i="7" s="1"/>
  <c r="L16" i="6"/>
  <c r="E16" i="6"/>
  <c r="C16" i="7" s="1"/>
  <c r="C16" i="6"/>
  <c r="B16" i="7" s="1"/>
  <c r="L15" i="6"/>
  <c r="E15" i="6"/>
  <c r="C15" i="7" s="1"/>
  <c r="C15" i="6"/>
  <c r="B15" i="7" s="1"/>
  <c r="L14" i="6"/>
  <c r="E14" i="6"/>
  <c r="C14" i="7" s="1"/>
  <c r="C14" i="6"/>
  <c r="B14" i="7" s="1"/>
  <c r="L13" i="6"/>
  <c r="E13" i="6"/>
  <c r="C13" i="7" s="1"/>
  <c r="C13" i="6"/>
  <c r="B13" i="7" s="1"/>
  <c r="L12" i="6"/>
  <c r="E12" i="6"/>
  <c r="C12" i="7" s="1"/>
  <c r="C12" i="6"/>
  <c r="B12" i="7" s="1"/>
  <c r="L11" i="6"/>
  <c r="E11" i="6"/>
  <c r="C11" i="7" s="1"/>
  <c r="C11" i="6"/>
  <c r="B11" i="7" s="1"/>
  <c r="L10" i="6"/>
  <c r="E10" i="6"/>
  <c r="C10" i="7" s="1"/>
  <c r="C10" i="6"/>
  <c r="B10" i="7" s="1"/>
  <c r="L9" i="6"/>
  <c r="E9" i="6"/>
  <c r="C9" i="7" s="1"/>
  <c r="C9" i="6"/>
  <c r="B9" i="7" s="1"/>
  <c r="L8" i="6"/>
  <c r="E8" i="6"/>
  <c r="C8" i="7" s="1"/>
  <c r="C8" i="6"/>
  <c r="B8" i="7" s="1"/>
  <c r="L7" i="6"/>
  <c r="E7" i="6"/>
  <c r="C7" i="7" s="1"/>
  <c r="C7" i="6"/>
  <c r="B7" i="7" s="1"/>
  <c r="L6" i="6"/>
  <c r="E6" i="6"/>
  <c r="C6" i="7" s="1"/>
  <c r="C6" i="6"/>
  <c r="B6" i="7" s="1"/>
  <c r="J11" i="2"/>
  <c r="F11" i="2"/>
  <c r="G11" i="2" s="1"/>
  <c r="J10" i="2"/>
  <c r="F10" i="2"/>
  <c r="G10" i="2" s="1"/>
  <c r="J9" i="2"/>
  <c r="F9" i="2"/>
  <c r="G9" i="2" s="1"/>
  <c r="J8" i="2"/>
  <c r="F8" i="2"/>
  <c r="G8" i="2" s="1"/>
  <c r="J7" i="2"/>
  <c r="F7" i="2"/>
  <c r="G7" i="2" s="1"/>
  <c r="J6" i="2"/>
  <c r="F6" i="2"/>
  <c r="G6" i="2" s="1"/>
  <c r="M50" i="7" l="1"/>
  <c r="J50" i="7"/>
  <c r="J49" i="7"/>
  <c r="M49" i="7"/>
  <c r="J48" i="7"/>
  <c r="M48" i="7"/>
  <c r="M47" i="7"/>
  <c r="J47" i="7"/>
  <c r="J46" i="7"/>
  <c r="M46" i="7"/>
  <c r="M45" i="7"/>
  <c r="J45" i="7"/>
  <c r="M44" i="7"/>
  <c r="J44" i="7"/>
  <c r="J43" i="7"/>
  <c r="M43" i="7"/>
  <c r="J42" i="7"/>
  <c r="M42" i="7"/>
  <c r="J41" i="7"/>
  <c r="M41" i="7"/>
  <c r="J40" i="7"/>
  <c r="M40" i="7"/>
  <c r="J39" i="7"/>
  <c r="M39" i="7"/>
  <c r="J38" i="7"/>
  <c r="M38" i="7"/>
  <c r="J37" i="7"/>
  <c r="M37" i="7"/>
  <c r="J36" i="7"/>
  <c r="M36" i="7"/>
  <c r="J35" i="7"/>
  <c r="M35" i="7"/>
  <c r="J34" i="7"/>
  <c r="M34" i="7"/>
  <c r="J33" i="7"/>
  <c r="M33" i="7"/>
  <c r="J32" i="7"/>
  <c r="M32" i="7"/>
  <c r="J31" i="7"/>
  <c r="M31" i="7"/>
  <c r="I25" i="7"/>
  <c r="F25" i="7" s="1"/>
  <c r="E25" i="7"/>
  <c r="D25" i="7"/>
  <c r="I24" i="7"/>
  <c r="F24" i="7" s="1"/>
  <c r="D24" i="7"/>
  <c r="E24" i="7"/>
  <c r="I23" i="7"/>
  <c r="F23" i="7" s="1"/>
  <c r="E23" i="7"/>
  <c r="D23" i="7"/>
  <c r="I22" i="7"/>
  <c r="F22" i="7" s="1"/>
  <c r="E22" i="7"/>
  <c r="D22" i="7"/>
  <c r="E21" i="7"/>
  <c r="D21" i="7"/>
  <c r="I21" i="7"/>
  <c r="F21" i="7" s="1"/>
  <c r="D20" i="7"/>
  <c r="E20" i="7"/>
  <c r="I20" i="7"/>
  <c r="F20" i="7" s="1"/>
  <c r="E19" i="7"/>
  <c r="D19" i="7"/>
  <c r="I19" i="7"/>
  <c r="F19" i="7" s="1"/>
  <c r="D18" i="7"/>
  <c r="I18" i="7"/>
  <c r="F18" i="7" s="1"/>
  <c r="E18" i="7"/>
  <c r="E17" i="7"/>
  <c r="D17" i="7"/>
  <c r="I17" i="7"/>
  <c r="F17" i="7" s="1"/>
  <c r="E16" i="7"/>
  <c r="D16" i="7"/>
  <c r="I16" i="7"/>
  <c r="F16" i="7" s="1"/>
  <c r="I15" i="7"/>
  <c r="F15" i="7" s="1"/>
  <c r="E15" i="7"/>
  <c r="D15" i="7"/>
  <c r="I14" i="7"/>
  <c r="F14" i="7" s="1"/>
  <c r="E14" i="7"/>
  <c r="D14" i="7"/>
  <c r="I13" i="7"/>
  <c r="F13" i="7" s="1"/>
  <c r="E13" i="7"/>
  <c r="D13" i="7"/>
  <c r="D12" i="7"/>
  <c r="E12" i="7"/>
  <c r="I12" i="7"/>
  <c r="F12" i="7" s="1"/>
  <c r="E11" i="7"/>
  <c r="D11" i="7"/>
  <c r="I11" i="7"/>
  <c r="F11" i="7" s="1"/>
  <c r="D10" i="7"/>
  <c r="E10" i="7"/>
  <c r="I10" i="7"/>
  <c r="F10" i="7" s="1"/>
  <c r="E9" i="7"/>
  <c r="I9" i="7"/>
  <c r="F9" i="7" s="1"/>
  <c r="D9" i="7"/>
  <c r="I8" i="7"/>
  <c r="F8" i="7" s="1"/>
  <c r="E8" i="7"/>
  <c r="D8" i="7"/>
  <c r="I7" i="7"/>
  <c r="F7" i="7" s="1"/>
  <c r="E7" i="7"/>
  <c r="D7" i="7"/>
  <c r="E6" i="7"/>
  <c r="I6" i="7"/>
  <c r="D6" i="7"/>
  <c r="L11" i="2"/>
  <c r="K11" i="2"/>
  <c r="K10" i="2"/>
  <c r="L10" i="2"/>
  <c r="L9" i="2"/>
  <c r="K9" i="2"/>
  <c r="L8" i="2"/>
  <c r="K8" i="2"/>
  <c r="K7" i="2"/>
  <c r="L7" i="2"/>
  <c r="L6" i="2"/>
  <c r="K6" i="2"/>
  <c r="K50" i="7" l="1"/>
  <c r="L50" i="7"/>
  <c r="K49" i="7"/>
  <c r="L49" i="7"/>
  <c r="K48" i="7"/>
  <c r="L48" i="7"/>
  <c r="L47" i="7"/>
  <c r="K47" i="7"/>
  <c r="K46" i="7"/>
  <c r="L46" i="7"/>
  <c r="L45" i="7"/>
  <c r="K45" i="7"/>
  <c r="K44" i="7"/>
  <c r="L44" i="7"/>
  <c r="K43" i="7"/>
  <c r="L43" i="7"/>
  <c r="K42" i="7"/>
  <c r="L42" i="7"/>
  <c r="K41" i="7"/>
  <c r="L41" i="7"/>
  <c r="K40" i="7"/>
  <c r="L40" i="7"/>
  <c r="K39" i="7"/>
  <c r="L39" i="7"/>
  <c r="K38" i="7"/>
  <c r="L38" i="7"/>
  <c r="K37" i="7"/>
  <c r="L37" i="7"/>
  <c r="K36" i="7"/>
  <c r="L36" i="7"/>
  <c r="K35" i="7"/>
  <c r="L35" i="7"/>
  <c r="K34" i="7"/>
  <c r="L34" i="7"/>
  <c r="K33" i="7"/>
  <c r="L33" i="7"/>
  <c r="K32" i="7"/>
  <c r="L32" i="7"/>
  <c r="K31" i="7"/>
  <c r="L31" i="7"/>
  <c r="G25" i="7"/>
  <c r="H25" i="7"/>
  <c r="G24" i="7"/>
  <c r="H24" i="7"/>
  <c r="G23" i="7"/>
  <c r="H23" i="7"/>
  <c r="G22" i="7"/>
  <c r="H22" i="7"/>
  <c r="G21" i="7"/>
  <c r="H21" i="7"/>
  <c r="G20" i="7"/>
  <c r="H20" i="7"/>
  <c r="G19" i="7"/>
  <c r="H19" i="7"/>
  <c r="G18" i="7"/>
  <c r="H18" i="7"/>
  <c r="G17" i="7"/>
  <c r="H17" i="7"/>
  <c r="G16" i="7"/>
  <c r="H16" i="7"/>
  <c r="G15" i="7"/>
  <c r="H15" i="7"/>
  <c r="G14" i="7"/>
  <c r="H14" i="7"/>
  <c r="G13" i="7"/>
  <c r="H13" i="7"/>
  <c r="G12" i="7"/>
  <c r="H12" i="7"/>
  <c r="G11" i="7"/>
  <c r="H11" i="7"/>
  <c r="G10" i="7"/>
  <c r="H10" i="7"/>
  <c r="G9" i="7"/>
  <c r="H9" i="7"/>
  <c r="G8" i="7"/>
  <c r="H8" i="7"/>
  <c r="G7" i="7"/>
  <c r="H7" i="7"/>
  <c r="F6" i="7"/>
  <c r="B58" i="7"/>
  <c r="G6" i="7" l="1"/>
  <c r="H6" i="7"/>
  <c r="B57" i="7" l="1"/>
  <c r="B54" i="7"/>
  <c r="B55" i="7"/>
  <c r="B56" i="7"/>
</calcChain>
</file>

<file path=xl/sharedStrings.xml><?xml version="1.0" encoding="utf-8"?>
<sst xmlns="http://schemas.openxmlformats.org/spreadsheetml/2006/main" count="382" uniqueCount="331">
  <si>
    <t>Plan de riesgo para la práctica 6</t>
  </si>
  <si>
    <t>PROPÓSITO. Identificar, evaluar y tratar riesgos de un sistema de información. Este archivo es una plantilla docente nueva basada en la estructura descrita en la práctica resuelta. No es el plan_riesgo.xls original.</t>
  </si>
  <si>
    <t>1. Lea el caso resuelto en Ejemplo de análisis. No borre esas filas. Para desarrollar su trabajo utilice Activos, Cruces Activo-Amenaza y Análisis de Riesgos.</t>
  </si>
  <si>
    <t>2. En Activos complete el nombre del caso, integrantes, alcance y horizonte. El caso inicial propuesto es un sistema académico ficticio. Puede conservarlo y justificar sus estimaciones o reemplazarlo por otro caso.</t>
  </si>
  <si>
    <t>3. Revise los seis activos de inicio. Complete propietario, dependencias y valoración de C, I, D y A. Puede añadir activos en las filas amarillas. Use IDs únicos A1 a A20.</t>
  </si>
  <si>
    <t>4. Consulte Tablas AR. Asigne P de 1 a 5 según posibilidad de ocurrencia en los próximos 12 meses e I de 1 a 5 según la consecuencia más grave. C, I, D y A significan confidencialidad, integridad, disponibilidad y autenticidad.</t>
  </si>
  <si>
    <t>5. Consulte Catálogo amenazas. Los códigos T1 a T10 son locales para esta práctica y no son códigos oficiales de MAGERIT. Si necesita otra amenaza, adapte una entrada e identifique el cambio en su informe.</t>
  </si>
  <si>
    <t>6. En Cruces Activo-Amenaza use una fila por escenario. Escriba un ID único R1 a R20, seleccione un activo y amenaza, describa vulnerabilidad, dimensión, controles actuales y justifique P e I. No registre todas las combinaciones posibles si no son pertinentes.</t>
  </si>
  <si>
    <t>7. Un escenario válido necesita ID, activo registrado, amenaza registrada, vulnerabilidad, dimensión, controles actuales (escriba Ninguno si no hay), P, I y justificación. El estado calculado muestra lo que falta. No copie filas enteras sobre columnas azules.</t>
  </si>
  <si>
    <t>8. En Análisis de Riesgos consulte resultados iniciales automáticos. El riesgo actual es P × I bajo los controles actuales declarados. Solo puede llamarse inherente si se ha evaluado sin salvaguardas. No sume índices ordinales para estimar pérdidas monetarias.</t>
  </si>
  <si>
    <t>9. En el segundo bloque de Análisis de Riesgos complete tratamiento, acción concreta, responsable, plazo en días y estado. Registre evidencia real o escriba Supuesto didáctico cuando todavía sea una propuesta.</t>
  </si>
  <si>
    <t>10. Asigne P residual e I residual según la eficacia justificada de las medidas. El residual es PREVISTO mientras no se implementen y prueben. Seleccionar Implementado no sustituye las evidencias. El archivo solo indica Verificado documentalmente cuando registra estado Verificado y evidencia.</t>
  </si>
  <si>
    <t>11. El umbral docente de aceptación es R ≤ 4. Un residual menor al umbral sigue requiriendo aprobación. Complete la decisión del responsable en la columna final. Riesgos por encima del umbral requieren nuevo tratamiento o una excepción documentada.</t>
  </si>
  <si>
    <t>12. No disminuya automáticamente I por reducir P. Una fuga de datos puede seguir siendo grave aunque sea menos probable. Evitar o transferir tampoco equivale a poner el riesgo en cero sin justificación.</t>
  </si>
  <si>
    <t>13. En PILAR cree el proyecto, registre activos y dependencias, valore dimensiones, seleccione amenazas y salvaguardas y compare la situación actual con el objetivo. Cargue los datos manualmente si no se dispone de una importación compatible. No use P ordinal como frecuencia anual.</t>
  </si>
  <si>
    <t>14. Para la comparación con RMAT identifique primero producto, versión y documentación. Compare inventario, escalas, amenazas, controles y reportes. La práctica adjunta no precisa cuál RMAT usa.</t>
  </si>
  <si>
    <t>15. Entregue este Excel completado, informe de interpretación, respuestas al cuestionario, proyecto o reportes de PILAR y capturas propias. Incluya decisiones sobre riesgos residuales y limitaciones de las estimaciones.</t>
  </si>
  <si>
    <t>COLORES. Amarillo: entrada del alumno. Azul claro: fórmula automática. Sin relleno: instrucciones o referencia. Los resultados numéricos cambian de verde a rojo según la escala. No escriba en las celdas de fórmulas.</t>
  </si>
  <si>
    <t>CAPACIDAD. Se preparan 20 activos y 20 escenarios. Complete solo las filas necesarias. No inserte ni elimine filas porque los bloques se relacionan por fila. Para reordenar consulte los resultados y ordene conjuntamente todo el registro fuente, nunca una columna aislada.</t>
  </si>
  <si>
    <t>FÓRMULAS. R actual = P × I. R residual = P residual × I residual. Reducción del índice = (R actual − R residual) / R actual. Esta reducción es ordinal y no equivale a probabilidad ni a ahorro financiero.</t>
  </si>
  <si>
    <t>CRITERIO DOCENTE. Las escalas, umbrales y datos del ejemplo son supuestos didácticos. La matriz 5 × 5 no reproduce el algoritmo completo de MAGERIT o PILAR.</t>
  </si>
  <si>
    <t>CUESTIONARIO a. Atributos: activo, amenaza, vulnerabilidad, dimensión, controles, P o frecuencia, I, nivel de riesgo, propietario y residual. Use uno de sus registros para explicarlos.</t>
  </si>
  <si>
    <t>CUESTIONARIO b. Protocolo: contexto, activos, escenarios, análisis, evaluación, tratamiento, implementación, prueba, residual, aceptación y seguimiento. Describa quién ejecuta y quién aprueba.</t>
  </si>
  <si>
    <t>CUESTIONARIO c. MAGERIT organiza el análisis y justifica protección. Explique esfuerzo de inventario, incertidumbre, mantenimiento y necesidad de expertos. No es exclusiva del sector público español.</t>
  </si>
  <si>
    <t>FUENTE PRINCIPAL. CONT2 2025B 1704254_PRAC06_MEJOR NOTA(1).pdf, páginas 2 a 6: componentes del archivo. Páginas 7 a 23: actividades, PILAR y cuestionario. Las referencias a SVN de ese informe no sustentan este tema.</t>
  </si>
  <si>
    <t>FUENTE CONCEPTUAL. José A. Mañas (2004), PILAR. Herramientas para el análisis y la gestión de riesgos, archivo 6_022.pdf, páginas impresas 3 a 8. El artículo emplea MAGERIT v1.</t>
  </si>
  <si>
    <t>CONSULTA OFICIAL. MAGERIT 3 Libro I: https://pilar.ccn-cert.cni.es/docman/documentos/1-magerit-v3-libro-i-metodo/file. Portal PILAR: https://pilar.ccn-cert.cni.es/</t>
  </si>
  <si>
    <t>GUÍA CITADA POR LA PRÁCTICA. INCIBE: https://www.incibe.es/sites/default/files/contenidos/guias/doc/guia_ciberseguridad_gestion_riesgos_metad.pdf</t>
  </si>
  <si>
    <t>ANTES DE ENTREGAR. Confirme IDs únicos, estados Listo, acciones y responsables, justificaciones de P e I, evidencias reales o supuestos identificados y decisiones. Ningún campo vacío debe interpretarse como cero riesgo.</t>
  </si>
  <si>
    <t>Caso resuelto de gestión académica</t>
  </si>
  <si>
    <t>Supuestos docentes. Actual sin eficacia acreditada; residual previsto tras medidas. No es salida de PILAR.</t>
  </si>
  <si>
    <t>ID</t>
  </si>
  <si>
    <t>Activo</t>
  </si>
  <si>
    <t>Amenaza y debilidad</t>
  </si>
  <si>
    <t>P</t>
  </si>
  <si>
    <t>I</t>
  </si>
  <si>
    <t>R actual</t>
  </si>
  <si>
    <t>Nivel actual</t>
  </si>
  <si>
    <t>P resid.</t>
  </si>
  <si>
    <t>I resid.</t>
  </si>
  <si>
    <t>R resid.</t>
  </si>
  <si>
    <t>Nivel resid.</t>
  </si>
  <si>
    <t>Decisión requerida</t>
  </si>
  <si>
    <t>R1</t>
  </si>
  <si>
    <t>Datos y respaldos</t>
  </si>
  <si>
    <t>Ransomware; copias accesibles</t>
  </si>
  <si>
    <t>R2</t>
  </si>
  <si>
    <t>Cuentas y datos</t>
  </si>
  <si>
    <t>Phishing; sin segundo factor</t>
  </si>
  <si>
    <t>R3</t>
  </si>
  <si>
    <t>Datos y aplicación</t>
  </si>
  <si>
    <t>Alteración; permisos excesivos</t>
  </si>
  <si>
    <t>R4</t>
  </si>
  <si>
    <t>Infraestructura</t>
  </si>
  <si>
    <t>Falla eléctrica; sin UPS</t>
  </si>
  <si>
    <t>R5</t>
  </si>
  <si>
    <t>Borrado; recuperación sin pruebas</t>
  </si>
  <si>
    <t>R6</t>
  </si>
  <si>
    <t>Datos y cuentas</t>
  </si>
  <si>
    <t>Divulgación; enlaces abiertos</t>
  </si>
  <si>
    <t>Tratamiento</t>
  </si>
  <si>
    <t>Acción concreta</t>
  </si>
  <si>
    <t>Responsable</t>
  </si>
  <si>
    <t>Plazo días</t>
  </si>
  <si>
    <t>Mitigar</t>
  </si>
  <si>
    <t>Copias aisladas y ensayo de recuperación</t>
  </si>
  <si>
    <t>Administrador TI</t>
  </si>
  <si>
    <t>Segundo factor y entrenamiento</t>
  </si>
  <si>
    <t>Seguridad TI</t>
  </si>
  <si>
    <t>Permisos por rol, aprobación y bitácora</t>
  </si>
  <si>
    <t>Desarrollo</t>
  </si>
  <si>
    <t>UPS y apagado controlado</t>
  </si>
  <si>
    <t>Versionado y prueba de restauración</t>
  </si>
  <si>
    <t>Administrador datos</t>
  </si>
  <si>
    <t>Acceso mínimo y bloquear enlaces públicos</t>
  </si>
  <si>
    <t>Responsable datos</t>
  </si>
  <si>
    <t>Lectura R3: 4 × 5 = 20 crítico. Con controles: 1 × 5 = 5 moderado. La gravedad sigue siendo 5.</t>
  </si>
  <si>
    <t>R3 y R6 requieren revisión directiva por I = 5. Una reducción de probabilidad no recupera confidencialidad perdida.</t>
  </si>
  <si>
    <t>Comprobación manual R1: 20 a 6. Reducción del índice ordinal = (20 − 6) / 20 = 70 %.</t>
  </si>
  <si>
    <t>Criterios de evaluación para 12 meses</t>
  </si>
  <si>
    <t>Nivel</t>
  </si>
  <si>
    <t>Probabilidad del evento en 12 meses</t>
  </si>
  <si>
    <t>Rara</t>
  </si>
  <si>
    <t>Hasta 5 %</t>
  </si>
  <si>
    <t>Poco probable</t>
  </si>
  <si>
    <t>Mayor de 5 % hasta 20 %</t>
  </si>
  <si>
    <t>Posible</t>
  </si>
  <si>
    <t>Mayor de 20 % hasta 50 %</t>
  </si>
  <si>
    <t>Probable</t>
  </si>
  <si>
    <t>Mayor de 50 % hasta 80 %</t>
  </si>
  <si>
    <t>Muy probable</t>
  </si>
  <si>
    <t>Mayor de 80 %</t>
  </si>
  <si>
    <t>Consecuencia más grave aplicable</t>
  </si>
  <si>
    <t>Menor</t>
  </si>
  <si>
    <t>Menos de 1 h de interrupción. Sin afectación relevante de datos.</t>
  </si>
  <si>
    <t>Baja</t>
  </si>
  <si>
    <t>De 1 a menos de 4 h. Corrección local y recuperable.</t>
  </si>
  <si>
    <t>Media</t>
  </si>
  <si>
    <t>De 4 a menos de 8 h o corrección importante de registros.</t>
  </si>
  <si>
    <t>Alta</t>
  </si>
  <si>
    <t>De 8 a 24 h o alteración relevante de registros.</t>
  </si>
  <si>
    <t>Muy alta</t>
  </si>
  <si>
    <t>Más de 24 h o alteración o divulgación masiva de datos.</t>
  </si>
  <si>
    <t>Desde R</t>
  </si>
  <si>
    <t>Clasificación</t>
  </si>
  <si>
    <t>Respuesta docente</t>
  </si>
  <si>
    <t>Moderado</t>
  </si>
  <si>
    <t>Tratar y revisar</t>
  </si>
  <si>
    <t>Alto</t>
  </si>
  <si>
    <t>Priorizar tratamiento</t>
  </si>
  <si>
    <t>Crítico</t>
  </si>
  <si>
    <t>Atención urgente</t>
  </si>
  <si>
    <t>Bajo</t>
  </si>
  <si>
    <t>Proponer aceptación documentada</t>
  </si>
  <si>
    <t>Máximo aceptable</t>
  </si>
  <si>
    <t>Dimensión</t>
  </si>
  <si>
    <t>Significado</t>
  </si>
  <si>
    <t>Ejemplo de consecuencia</t>
  </si>
  <si>
    <t>C</t>
  </si>
  <si>
    <t>Confidencialidad</t>
  </si>
  <si>
    <t>Lectura de datos por personas no autorizadas</t>
  </si>
  <si>
    <t>Integridad</t>
  </si>
  <si>
    <t>Notas incompletas o alteradas</t>
  </si>
  <si>
    <t>D</t>
  </si>
  <si>
    <t>Disponibilidad</t>
  </si>
  <si>
    <t>Servicio de matrícula interrumpido</t>
  </si>
  <si>
    <t>A</t>
  </si>
  <si>
    <t>Autenticidad</t>
  </si>
  <si>
    <t>Operación atribuida a un usuario suplantado</t>
  </si>
  <si>
    <t>Regla</t>
  </si>
  <si>
    <t>Escala ordinal</t>
  </si>
  <si>
    <t>No corresponde a valores monetarios ni al cálculo completo de PILAR</t>
  </si>
  <si>
    <t>Criterio I</t>
  </si>
  <si>
    <t>Máximo efecto</t>
  </si>
  <si>
    <t>Si ocurre cualquiera de los efectos de un nivel, considere ese nivel</t>
  </si>
  <si>
    <t>Amenazas y vulnerabilidades de referencia</t>
  </si>
  <si>
    <t>Código</t>
  </si>
  <si>
    <t>Amenaza</t>
  </si>
  <si>
    <t>Tipo</t>
  </si>
  <si>
    <t>Vulnerabilidad posible</t>
  </si>
  <si>
    <t>Medida posible</t>
  </si>
  <si>
    <t>T1</t>
  </si>
  <si>
    <t>Ransomware</t>
  </si>
  <si>
    <t>Ataque</t>
  </si>
  <si>
    <t>Copias accesibles desde producción</t>
  </si>
  <si>
    <t>Copias aisladas y restauración probada</t>
  </si>
  <si>
    <t>T2</t>
  </si>
  <si>
    <t>Phishing</t>
  </si>
  <si>
    <t>Acceso sin segundo factor</t>
  </si>
  <si>
    <t>T3</t>
  </si>
  <si>
    <t>Alteración de notas</t>
  </si>
  <si>
    <t>Abuso o error</t>
  </si>
  <si>
    <t>Permisos excesivos</t>
  </si>
  <si>
    <t>Permisos por rol y aprobación</t>
  </si>
  <si>
    <t>T4</t>
  </si>
  <si>
    <t>Falla eléctrica</t>
  </si>
  <si>
    <t>Falla técnica</t>
  </si>
  <si>
    <t>Ausencia de respaldo eléctrico</t>
  </si>
  <si>
    <t>T5</t>
  </si>
  <si>
    <t>Borrado accidental</t>
  </si>
  <si>
    <t>Error humano</t>
  </si>
  <si>
    <t>Restauración no ensayada</t>
  </si>
  <si>
    <t>Versionado y ensayo de recuperación</t>
  </si>
  <si>
    <t>T6</t>
  </si>
  <si>
    <t>Divulgación de datos</t>
  </si>
  <si>
    <t>Archivos compartidos sin restricción</t>
  </si>
  <si>
    <t>Acceso mínimo y revisión de enlaces</t>
  </si>
  <si>
    <t>T7</t>
  </si>
  <si>
    <t>Falla del servidor</t>
  </si>
  <si>
    <t>Sin redundancia ni mantenimiento</t>
  </si>
  <si>
    <t>Mantenimiento y plan de recuperación</t>
  </si>
  <si>
    <t>T8</t>
  </si>
  <si>
    <t>Pérdida de conectividad</t>
  </si>
  <si>
    <t>Un solo enlace</t>
  </si>
  <si>
    <t>Enlace alternativo y procedimiento manual</t>
  </si>
  <si>
    <t>T9</t>
  </si>
  <si>
    <t>Robo de equipo</t>
  </si>
  <si>
    <t>Ataque físico</t>
  </si>
  <si>
    <t>Equipo portátil sin cifrado</t>
  </si>
  <si>
    <t>Cifrado y control físico</t>
  </si>
  <si>
    <t>T10</t>
  </si>
  <si>
    <t>Error de actualización</t>
  </si>
  <si>
    <t>Error técnico</t>
  </si>
  <si>
    <t>Cambios sin prueba ni reversión</t>
  </si>
  <si>
    <t>Pruebas previas y plan de reversión</t>
  </si>
  <si>
    <t>Inventario y contexto del caso</t>
  </si>
  <si>
    <t>Caso</t>
  </si>
  <si>
    <t>Sistema académico ficticio</t>
  </si>
  <si>
    <t>Integrantes</t>
  </si>
  <si>
    <t>Alcance</t>
  </si>
  <si>
    <t>Matrícula, notas y consulta</t>
  </si>
  <si>
    <t>Horizonte</t>
  </si>
  <si>
    <t>Próximos 12 meses</t>
  </si>
  <si>
    <t>Nombre del activo</t>
  </si>
  <si>
    <t>Propietario</t>
  </si>
  <si>
    <t>Depende de IDs</t>
  </si>
  <si>
    <t>C 1–5</t>
  </si>
  <si>
    <t>I 1–5</t>
  </si>
  <si>
    <t>D 1–5</t>
  </si>
  <si>
    <t>A 1–5</t>
  </si>
  <si>
    <t>Justificación del valor</t>
  </si>
  <si>
    <t>A1</t>
  </si>
  <si>
    <t>Servicio académico</t>
  </si>
  <si>
    <t>Servicio</t>
  </si>
  <si>
    <t>A2, A3, A4</t>
  </si>
  <si>
    <t>A2</t>
  </si>
  <si>
    <t>Datos académicos</t>
  </si>
  <si>
    <t>Datos</t>
  </si>
  <si>
    <t>A4, A6</t>
  </si>
  <si>
    <t>A3</t>
  </si>
  <si>
    <t>Aplicación web</t>
  </si>
  <si>
    <t>Software</t>
  </si>
  <si>
    <t>A4</t>
  </si>
  <si>
    <t>Servidor y red</t>
  </si>
  <si>
    <t>A6</t>
  </si>
  <si>
    <t>A5</t>
  </si>
  <si>
    <t>Respaldos</t>
  </si>
  <si>
    <t>Recuperación</t>
  </si>
  <si>
    <t>Personal y cuentas</t>
  </si>
  <si>
    <t>Personas</t>
  </si>
  <si>
    <t>Escenarios del alumno</t>
  </si>
  <si>
    <t>Complete amarillo. Azul calcula. Una fila corresponde a un escenario, no a todos los activos simultáneamente.</t>
  </si>
  <si>
    <t>ID riesgo</t>
  </si>
  <si>
    <t>ID activo</t>
  </si>
  <si>
    <t>Activo automático</t>
  </si>
  <si>
    <t>ID amenaza</t>
  </si>
  <si>
    <t>Amenaza automática</t>
  </si>
  <si>
    <t>Vulnerabilidad concreta</t>
  </si>
  <si>
    <t>Controles actuales</t>
  </si>
  <si>
    <t>P 1–5</t>
  </si>
  <si>
    <t>Justificación de P e I</t>
  </si>
  <si>
    <t>Estado del registro</t>
  </si>
  <si>
    <t>Resultados y plan de tratamiento del alumno</t>
  </si>
  <si>
    <t>Resultados actualizados desde Cruces. Residual previsto hasta comprobar el control. Complete decisiones y evidencias.</t>
  </si>
  <si>
    <t>Atención</t>
  </si>
  <si>
    <t>Estado fuente</t>
  </si>
  <si>
    <t>Estado control</t>
  </si>
  <si>
    <t>Evidencia o supuesto</t>
  </si>
  <si>
    <t>Nivel residual</t>
  </si>
  <si>
    <t>Reducción índice</t>
  </si>
  <si>
    <t>Condición del residual</t>
  </si>
  <si>
    <t>Decisión responsable</t>
  </si>
  <si>
    <t>Resumen actual</t>
  </si>
  <si>
    <t>Cantidad</t>
  </si>
  <si>
    <t>Registros listos</t>
  </si>
  <si>
    <t>Christian Raul Mestas Zegarra</t>
  </si>
  <si>
    <t>Dirección Académica</t>
  </si>
  <si>
    <t>Secretaría Académica</t>
  </si>
  <si>
    <t>Administración del Sistema</t>
  </si>
  <si>
    <t>Infraestructura TI</t>
  </si>
  <si>
    <t>Administrador TI</t>
  </si>
  <si>
    <t>Matrícula y consulta sostienen OBJ-02; D5 por interrupción del servicio; I4 por notas (traza FR-09, FR-05)</t>
  </si>
  <si>
    <t>Estudiantes, matrículas, notas y pagos (IRQ-01–IRQ-07); C5/I5 por datos personales y notas oficiales</t>
  </si>
  <si>
    <t>RBAC y bloqueo (FR-15–FR-19, FR-18); A5 por operaciones atribuibles a suplantados</t>
  </si>
  <si>
    <t>Base de A1–A3 y A5; D5 por corte total del servicio</t>
  </si>
  <si>
    <t>Copia íntegra de datos académicos con RPO 24 h / RTO 4 h (NFR-10)</t>
  </si>
  <si>
    <t>Cuentas y credenciales (FR-16, FR-18); A5 por autenticidad de operaciones</t>
  </si>
  <si>
    <t>Ninguno</t>
  </si>
  <si>
    <t>Copias de respaldo accesibles desde el servidor de producción</t>
  </si>
  <si>
    <t>Cuentas de personal sin segundo factor</t>
  </si>
  <si>
    <t>Permisos excesivos sobre notas sin aprobación</t>
  </si>
  <si>
    <t>Ausencia de respaldo eléctrico y apagado controlado</t>
  </si>
  <si>
    <t>Restauración de datos nunca ensayada</t>
  </si>
  <si>
    <t>Archivos y enlaces compartidos sin restricción</t>
  </si>
  <si>
    <t>Servidor único sin redundancia ni mantenimiento</t>
  </si>
  <si>
    <t>Un solo enlace sin procedimiento manual</t>
  </si>
  <si>
    <t>Portátil administrativo sin cifrado</t>
  </si>
  <si>
    <t>Cambios en producción sin prueba ni reversión</t>
  </si>
  <si>
    <t>P3: ransomware 20–50% anual sin copias aisladas. I5: cifrado total deja matrícula y notas fuera &gt;24 h</t>
  </si>
  <si>
    <t>P4: phishing masivo supera 50% anual. I4: sesión suplantada exige corrección de 8–24 h</t>
  </si>
  <si>
    <t>P3: abuso interno 20–50% con permisos amplios. I5: alteración masiva invalida actas oficiales</t>
  </si>
  <si>
    <t>P3: cortes locales 20–50% anual. I3: caída 4–8 h detiene matrícula sin pérdida de datos</t>
  </si>
  <si>
    <t>P3: borrado por error 20–50% anual. I4: sin ensayo la recuperación supera 8 h</t>
  </si>
  <si>
    <t>P3: enlaces abiertos, exposición 20–50%. I5: divulgación masiva de datos de estudiantes</t>
  </si>
  <si>
    <t>P2: falla 5–20% anual. I4: reposición 8–24 h sin repuesto</t>
  </si>
  <si>
    <t>P2: corte ISP 5–20% anual. I3: matrícula detenida 4–8 h hasta registro manual</t>
  </si>
  <si>
    <t>P2: robo 5–20% anual. I5: base de estudiantes legible implica divulgación masiva</t>
  </si>
  <si>
    <t>P3: falla 20–50% sin pruebas. I3: reversión manual degrada servicio 4–8 h</t>
  </si>
  <si>
    <t>Mitigar</t>
  </si>
  <si>
    <t>Copias aisladas 3-2-1 y ensayo trimestral de restauración</t>
  </si>
  <si>
    <t>Segundo factor en cuentas y entrenamiento anti-phishing</t>
  </si>
  <si>
    <t>Permisos por rol, aprobación de cambios de notas y bitácora</t>
  </si>
  <si>
    <t>UPS y procedimiento de apagado controlado</t>
  </si>
  <si>
    <t>Versionado de base de datos y prueba semestral de restauración</t>
  </si>
  <si>
    <t>Acceso mínimo, bloqueo de enlaces públicos y revisión mensual</t>
  </si>
  <si>
    <t>Mantenimiento preventivo y plan de recuperación del servidor</t>
  </si>
  <si>
    <t>Enlace alternativo y procedimiento manual de matrícula</t>
  </si>
  <si>
    <t>Cifrado de disco en portátiles y control físico de equipos</t>
  </si>
  <si>
    <t>Ventana de pruebas previas y plan de reversión documentado</t>
  </si>
  <si>
    <t>Supuesto didáctico: disco externo y rutina de copia aislada</t>
  </si>
  <si>
    <t>Supuesto didáctico: app TOTP gratuita y charla de 2 h</t>
  </si>
  <si>
    <t>Supuesto didáctico: roles y auditoría (FR-20)</t>
  </si>
  <si>
    <t>Supuesto didáctico: UPS cotizado, pendiente de compra</t>
  </si>
  <si>
    <t>Supuesto didáctico: ensayo documentado con acta</t>
  </si>
  <si>
    <t>Supuesto didáctico: primera fase; fase 2 con DLP pendiente</t>
  </si>
  <si>
    <t>Supuesto didáctico: mantenimiento cotizado</t>
  </si>
  <si>
    <t>Supuesto didáctico: formularios impresos y capacitación</t>
  </si>
  <si>
    <t>Supuesto didáctico: cifrado activado en 2 equipos</t>
  </si>
  <si>
    <t>Supuesto didáctico: entorno de pruebas separado</t>
  </si>
  <si>
    <t>Solicitar aceptación</t>
  </si>
  <si>
    <t>Nuevo tratamiento</t>
  </si>
  <si>
    <t>Propuesto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</si>
  <si>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</si>
  <si>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</si>
  <si>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</si>
  <si>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</si>
  <si>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</si>
  <si>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</si>
  <si>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</si>
  <si>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</si>
  <si>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</si>
  <si>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</si>
  <si>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A5</t>
  </si>
  <si>
    <t>A6</t>
  </si>
  <si>
    <t>A2</t>
  </si>
  <si>
    <t>A4</t>
  </si>
  <si>
    <t>A1</t>
  </si>
  <si>
    <t>A3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</si>
  <si>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</si>
  <si>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</si>
  <si>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</si>
  <si>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</si>
  <si>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</si>
  <si>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</si>
  <si>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</si>
  <si>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</si>
  <si>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</si>
  <si>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</si>
  <si>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D</t>
  </si>
  <si>
    <t>C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</si>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</sst>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sz val="10"/>
      <color rgb="FF172B40"/>
      <name val="Arial"/>
    </font>
    <font>
      <b/>
      <sz val="15"/>
      <color rgb="FF172B4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33F5C"/>
      </patternFill>
    </fill>
    <fill>
      <patternFill patternType="solid">
        <fgColor rgb="FFFFF2CC"/>
      </patternFill>
    </fill>
    <fill>
      <patternFill patternType="solid">
        <fgColor rgb="FFE8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16"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showGridLines="0" topLeftCell="A5" workbookViewId="0">
      <selection activeCell="A6" sqref="A6"/>
    </sheetView>
  </sheetViews>
  <sheetFormatPr baseColWidth="10" defaultColWidth="9" defaultRowHeight="14.25"/>
  <cols>
    <col min="1" max="1" width="112" customWidth="1"/>
  </cols>
  <sheetData>
    <row r="1" spans="1:1">
      <c r="A1" s="1"/>
    </row>
    <row r="2" spans="1:1" ht="30" customHeight="1">
      <c r="A2" s="2" t="s">
        <v>0</v>
      </c>
    </row>
    <row r="3" spans="1:1">
      <c r="A3" s="1"/>
    </row>
    <row r="4" spans="1:1" ht="57.95" customHeight="1">
      <c r="A4" s="3" t="s">
        <v>1</v>
      </c>
    </row>
    <row r="5" spans="1:1" ht="57.95" customHeight="1">
      <c r="A5" s="3" t="s">
        <v>2</v>
      </c>
    </row>
    <row r="6" spans="1:1" ht="57.95" customHeight="1">
      <c r="A6" s="3" t="s">
        <v>3</v>
      </c>
    </row>
    <row r="7" spans="1:1" ht="57.95" customHeight="1">
      <c r="A7" s="3" t="s">
        <v>4</v>
      </c>
    </row>
    <row r="8" spans="1:1" ht="57.95" customHeight="1">
      <c r="A8" s="3" t="s">
        <v>5</v>
      </c>
    </row>
    <row r="9" spans="1:1" ht="57.95" customHeight="1">
      <c r="A9" s="3" t="s">
        <v>6</v>
      </c>
    </row>
    <row r="10" spans="1:1" ht="57.95" customHeight="1">
      <c r="A10" s="3" t="s">
        <v>7</v>
      </c>
    </row>
    <row r="11" spans="1:1" ht="57.95" customHeight="1">
      <c r="A11" s="3" t="s">
        <v>8</v>
      </c>
    </row>
    <row r="12" spans="1:1" ht="57.95" customHeight="1">
      <c r="A12" s="3" t="s">
        <v>9</v>
      </c>
    </row>
    <row r="13" spans="1:1" ht="57.95" customHeight="1">
      <c r="A13" s="3" t="s">
        <v>10</v>
      </c>
    </row>
    <row r="14" spans="1:1" ht="57.95" customHeight="1">
      <c r="A14" s="3" t="s">
        <v>11</v>
      </c>
    </row>
    <row r="15" spans="1:1" ht="57.95" customHeight="1">
      <c r="A15" s="3" t="s">
        <v>12</v>
      </c>
    </row>
    <row r="16" spans="1:1" ht="57.95" customHeight="1">
      <c r="A16" s="3" t="s">
        <v>13</v>
      </c>
    </row>
    <row r="17" spans="1:1" ht="57.95" customHeight="1">
      <c r="A17" s="3" t="s">
        <v>14</v>
      </c>
    </row>
    <row r="18" spans="1:1" ht="57.95" customHeight="1">
      <c r="A18" s="3" t="s">
        <v>15</v>
      </c>
    </row>
    <row r="19" spans="1:1" ht="57.95" customHeight="1">
      <c r="A19" s="3" t="s">
        <v>16</v>
      </c>
    </row>
    <row r="20" spans="1:1" ht="57.95" customHeight="1">
      <c r="A20" s="3" t="s">
        <v>17</v>
      </c>
    </row>
    <row r="21" spans="1:1" ht="57.95" customHeight="1">
      <c r="A21" s="3" t="s">
        <v>18</v>
      </c>
    </row>
    <row r="22" spans="1:1" ht="57.95" customHeight="1">
      <c r="A22" s="3" t="s">
        <v>19</v>
      </c>
    </row>
    <row r="23" spans="1:1" ht="57.95" customHeight="1">
      <c r="A23" s="3" t="s">
        <v>20</v>
      </c>
    </row>
    <row r="24" spans="1:1" ht="57.95" customHeight="1">
      <c r="A24" s="3" t="s">
        <v>21</v>
      </c>
    </row>
    <row r="25" spans="1:1" ht="57.95" customHeight="1">
      <c r="A25" s="3" t="s">
        <v>22</v>
      </c>
    </row>
    <row r="26" spans="1:1" ht="57.95" customHeight="1">
      <c r="A26" s="3" t="s">
        <v>23</v>
      </c>
    </row>
    <row r="27" spans="1:1" ht="57.95" customHeight="1">
      <c r="A27" s="3" t="s">
        <v>24</v>
      </c>
    </row>
    <row r="28" spans="1:1" ht="57.95" customHeight="1">
      <c r="A28" s="3" t="s">
        <v>25</v>
      </c>
    </row>
    <row r="29" spans="1:1" ht="57.95" customHeight="1">
      <c r="A29" s="3" t="s">
        <v>26</v>
      </c>
    </row>
    <row r="30" spans="1:1" ht="57.95" customHeight="1">
      <c r="A30" s="3" t="s">
        <v>27</v>
      </c>
    </row>
    <row r="31" spans="1:1" ht="57.95" customHeight="1">
      <c r="A31" s="3" t="s">
        <v>28</v>
      </c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showGridLines="0" topLeftCell="A11" workbookViewId="0">
      <selection activeCell="A2" sqref="A2"/>
    </sheetView>
  </sheetViews>
  <sheetFormatPr baseColWidth="10" defaultColWidth="9" defaultRowHeight="14.25"/>
  <cols>
    <col min="1" max="1" width="9" customWidth="1"/>
    <col min="2" max="2" width="27" customWidth="1"/>
    <col min="3" max="3" width="32" customWidth="1"/>
    <col min="4" max="4" width="24" customWidth="1"/>
    <col min="5" max="5" width="14" customWidth="1"/>
    <col min="6" max="6" width="12" customWidth="1"/>
    <col min="7" max="7" width="19" customWidth="1"/>
    <col min="8" max="9" width="9" customWidth="1"/>
    <col min="10" max="10" width="12" customWidth="1"/>
    <col min="11" max="12" width="18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3.950000000000003" customHeight="1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</row>
    <row r="6" spans="1:12" ht="45.95" customHeight="1">
      <c r="A6" s="3" t="s">
        <v>43</v>
      </c>
      <c r="B6" s="3" t="s">
        <v>44</v>
      </c>
      <c r="C6" s="3" t="s">
        <v>45</v>
      </c>
      <c r="D6" s="3">
        <v>4</v>
      </c>
      <c r="E6" s="3">
        <v>5</v>
      </c>
      <c r="F6" s="6">
        <f t="shared" ref="F6:F11" si="0">D6*E6</f>
        <v>20</v>
      </c>
      <c r="G6" s="6" t="str">
        <f>IF(F6&lt;'Tablas AR'!$A$17,"Bajo",IF(F6&lt;'Tablas AR'!$A$18,"Moderado",IF(F6&lt;'Tablas AR'!$A$19,"Alto","Crítico")))</f>
        <v>Crítico</v>
      </c>
      <c r="H6" s="3">
        <v>2</v>
      </c>
      <c r="I6" s="3">
        <v>3</v>
      </c>
      <c r="J6" s="6">
        <f t="shared" ref="J6:J11" si="1">H6*I6</f>
        <v>6</v>
      </c>
      <c r="K6" s="6" t="str">
        <f>IF(J6&lt;'Tablas AR'!$A$17,"Bajo",IF(J6&lt;'Tablas AR'!$A$18,"Moderado",IF(J6&lt;'Tablas AR'!$A$19,"Alto","Crítico")))</f>
        <v>Moderado</v>
      </c>
      <c r="L6" s="6" t="str">
        <f>IF(J6&lt;='Tablas AR'!$B$22,"Solicitar aceptación","Nuevo tratamiento")</f>
        <v>Nuevo tratamiento</v>
      </c>
    </row>
    <row r="7" spans="1:12" ht="45.95" customHeight="1">
      <c r="A7" s="3" t="s">
        <v>46</v>
      </c>
      <c r="B7" s="3" t="s">
        <v>47</v>
      </c>
      <c r="C7" s="3" t="s">
        <v>48</v>
      </c>
      <c r="D7" s="3">
        <v>4</v>
      </c>
      <c r="E7" s="3">
        <v>4</v>
      </c>
      <c r="F7" s="6">
        <f t="shared" si="0"/>
        <v>16</v>
      </c>
      <c r="G7" s="6" t="str">
        <f>IF(F7&lt;'Tablas AR'!$A$17,"Bajo",IF(F7&lt;'Tablas AR'!$A$18,"Moderado",IF(F7&lt;'Tablas AR'!$A$19,"Alto","Crítico")))</f>
        <v>Alto</v>
      </c>
      <c r="H7" s="3">
        <v>2</v>
      </c>
      <c r="I7" s="3">
        <v>3</v>
      </c>
      <c r="J7" s="6">
        <f t="shared" si="1"/>
        <v>6</v>
      </c>
      <c r="K7" s="6" t="str">
        <f>IF(J7&lt;'Tablas AR'!$A$17,"Bajo",IF(J7&lt;'Tablas AR'!$A$18,"Moderado",IF(J7&lt;'Tablas AR'!$A$19,"Alto","Crítico")))</f>
        <v>Moderado</v>
      </c>
      <c r="L7" s="6" t="str">
        <f>IF(J7&lt;='Tablas AR'!$B$22,"Solicitar aceptación","Nuevo tratamiento")</f>
        <v>Nuevo tratamiento</v>
      </c>
    </row>
    <row r="8" spans="1:12" ht="45.95" customHeight="1">
      <c r="A8" s="3" t="s">
        <v>49</v>
      </c>
      <c r="B8" s="3" t="s">
        <v>50</v>
      </c>
      <c r="C8" s="3" t="s">
        <v>51</v>
      </c>
      <c r="D8" s="3">
        <v>4</v>
      </c>
      <c r="E8" s="3">
        <v>5</v>
      </c>
      <c r="F8" s="6">
        <f t="shared" si="0"/>
        <v>20</v>
      </c>
      <c r="G8" s="6" t="str">
        <f>IF(F8&lt;'Tablas AR'!$A$17,"Bajo",IF(F8&lt;'Tablas AR'!$A$18,"Moderado",IF(F8&lt;'Tablas AR'!$A$19,"Alto","Crítico")))</f>
        <v>Crítico</v>
      </c>
      <c r="H8" s="3">
        <v>1</v>
      </c>
      <c r="I8" s="3">
        <v>5</v>
      </c>
      <c r="J8" s="6">
        <f t="shared" si="1"/>
        <v>5</v>
      </c>
      <c r="K8" s="6" t="str">
        <f>IF(J8&lt;'Tablas AR'!$A$17,"Bajo",IF(J8&lt;'Tablas AR'!$A$18,"Moderado",IF(J8&lt;'Tablas AR'!$A$19,"Alto","Crítico")))</f>
        <v>Moderado</v>
      </c>
      <c r="L8" s="6" t="str">
        <f>IF(J8&lt;='Tablas AR'!$B$22,"Solicitar aceptación","Nuevo tratamiento")</f>
        <v>Nuevo tratamiento</v>
      </c>
    </row>
    <row r="9" spans="1:12" ht="45.95" customHeight="1">
      <c r="A9" s="3" t="s">
        <v>52</v>
      </c>
      <c r="B9" s="3" t="s">
        <v>53</v>
      </c>
      <c r="C9" s="3" t="s">
        <v>54</v>
      </c>
      <c r="D9" s="3">
        <v>3</v>
      </c>
      <c r="E9" s="3">
        <v>4</v>
      </c>
      <c r="F9" s="6">
        <f t="shared" si="0"/>
        <v>12</v>
      </c>
      <c r="G9" s="6" t="str">
        <f>IF(F9&lt;'Tablas AR'!$A$17,"Bajo",IF(F9&lt;'Tablas AR'!$A$18,"Moderado",IF(F9&lt;'Tablas AR'!$A$19,"Alto","Crítico")))</f>
        <v>Alto</v>
      </c>
      <c r="H9" s="3">
        <v>2</v>
      </c>
      <c r="I9" s="3">
        <v>2</v>
      </c>
      <c r="J9" s="6">
        <f t="shared" si="1"/>
        <v>4</v>
      </c>
      <c r="K9" s="6" t="str">
        <f>IF(J9&lt;'Tablas AR'!$A$17,"Bajo",IF(J9&lt;'Tablas AR'!$A$18,"Moderado",IF(J9&lt;'Tablas AR'!$A$19,"Alto","Crítico")))</f>
        <v>Bajo</v>
      </c>
      <c r="L9" s="6" t="str">
        <f>IF(J9&lt;='Tablas AR'!$B$22,"Solicitar aceptación","Nuevo tratamiento")</f>
        <v>Solicitar aceptación</v>
      </c>
    </row>
    <row r="10" spans="1:12" ht="45.95" customHeight="1">
      <c r="A10" s="3" t="s">
        <v>55</v>
      </c>
      <c r="B10" s="3" t="s">
        <v>44</v>
      </c>
      <c r="C10" s="3" t="s">
        <v>56</v>
      </c>
      <c r="D10" s="3">
        <v>3</v>
      </c>
      <c r="E10" s="3">
        <v>4</v>
      </c>
      <c r="F10" s="6">
        <f t="shared" si="0"/>
        <v>12</v>
      </c>
      <c r="G10" s="6" t="str">
        <f>IF(F10&lt;'Tablas AR'!$A$17,"Bajo",IF(F10&lt;'Tablas AR'!$A$18,"Moderado",IF(F10&lt;'Tablas AR'!$A$19,"Alto","Crítico")))</f>
        <v>Alto</v>
      </c>
      <c r="H10" s="3">
        <v>1</v>
      </c>
      <c r="I10" s="3">
        <v>3</v>
      </c>
      <c r="J10" s="6">
        <f t="shared" si="1"/>
        <v>3</v>
      </c>
      <c r="K10" s="6" t="str">
        <f>IF(J10&lt;'Tablas AR'!$A$17,"Bajo",IF(J10&lt;'Tablas AR'!$A$18,"Moderado",IF(J10&lt;'Tablas AR'!$A$19,"Alto","Crítico")))</f>
        <v>Bajo</v>
      </c>
      <c r="L10" s="6" t="str">
        <f>IF(J10&lt;='Tablas AR'!$B$22,"Solicitar aceptación","Nuevo tratamiento")</f>
        <v>Solicitar aceptación</v>
      </c>
    </row>
    <row r="11" spans="1:12" ht="45.95" customHeight="1">
      <c r="A11" s="3" t="s">
        <v>57</v>
      </c>
      <c r="B11" s="3" t="s">
        <v>58</v>
      </c>
      <c r="C11" s="3" t="s">
        <v>59</v>
      </c>
      <c r="D11" s="3">
        <v>3</v>
      </c>
      <c r="E11" s="3">
        <v>5</v>
      </c>
      <c r="F11" s="6">
        <f t="shared" si="0"/>
        <v>15</v>
      </c>
      <c r="G11" s="6" t="str">
        <f>IF(F11&lt;'Tablas AR'!$A$17,"Bajo",IF(F11&lt;'Tablas AR'!$A$18,"Moderado",IF(F11&lt;'Tablas AR'!$A$19,"Alto","Crítico")))</f>
        <v>Alto</v>
      </c>
      <c r="H11" s="3">
        <v>1</v>
      </c>
      <c r="I11" s="3">
        <v>5</v>
      </c>
      <c r="J11" s="6">
        <f t="shared" si="1"/>
        <v>5</v>
      </c>
      <c r="K11" s="6" t="str">
        <f>IF(J11&lt;'Tablas AR'!$A$17,"Bajo",IF(J11&lt;'Tablas AR'!$A$18,"Moderado",IF(J11&lt;'Tablas AR'!$A$19,"Alto","Crítico")))</f>
        <v>Moderado</v>
      </c>
      <c r="L11" s="6" t="str">
        <f>IF(J11&lt;='Tablas AR'!$B$22,"Solicitar aceptación","Nuevo tratamiento")</f>
        <v>Nuevo tratamiento</v>
      </c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3.950000000000003" customHeight="1">
      <c r="A14" s="4" t="s">
        <v>31</v>
      </c>
      <c r="B14" s="4" t="s">
        <v>60</v>
      </c>
      <c r="C14" s="4" t="s">
        <v>61</v>
      </c>
      <c r="D14" s="4" t="s">
        <v>62</v>
      </c>
      <c r="E14" s="4" t="s">
        <v>63</v>
      </c>
      <c r="F14" s="1"/>
      <c r="G14" s="1"/>
      <c r="H14" s="1"/>
      <c r="I14" s="1"/>
      <c r="J14" s="1"/>
      <c r="K14" s="1"/>
      <c r="L14" s="1"/>
    </row>
    <row r="15" spans="1:12" ht="54.95" customHeight="1">
      <c r="A15" s="3" t="s">
        <v>43</v>
      </c>
      <c r="B15" s="3" t="s">
        <v>64</v>
      </c>
      <c r="C15" s="3" t="s">
        <v>65</v>
      </c>
      <c r="D15" s="3" t="s">
        <v>66</v>
      </c>
      <c r="E15" s="3">
        <v>30</v>
      </c>
      <c r="F15" s="1"/>
      <c r="G15" s="1"/>
      <c r="H15" s="1"/>
      <c r="I15" s="1"/>
      <c r="J15" s="1"/>
      <c r="K15" s="1"/>
      <c r="L15" s="1"/>
    </row>
    <row r="16" spans="1:12" ht="54.95" customHeight="1">
      <c r="A16" s="3" t="s">
        <v>46</v>
      </c>
      <c r="B16" s="3" t="s">
        <v>64</v>
      </c>
      <c r="C16" s="3" t="s">
        <v>67</v>
      </c>
      <c r="D16" s="3" t="s">
        <v>68</v>
      </c>
      <c r="E16" s="3">
        <v>15</v>
      </c>
      <c r="F16" s="1"/>
      <c r="G16" s="1"/>
      <c r="H16" s="1"/>
      <c r="I16" s="1"/>
      <c r="J16" s="1"/>
      <c r="K16" s="1"/>
      <c r="L16" s="1"/>
    </row>
    <row r="17" spans="1:12" ht="54.95" customHeight="1">
      <c r="A17" s="3" t="s">
        <v>49</v>
      </c>
      <c r="B17" s="3" t="s">
        <v>64</v>
      </c>
      <c r="C17" s="3" t="s">
        <v>69</v>
      </c>
      <c r="D17" s="3" t="s">
        <v>70</v>
      </c>
      <c r="E17" s="3">
        <v>20</v>
      </c>
      <c r="F17" s="1"/>
      <c r="G17" s="1"/>
      <c r="H17" s="1"/>
      <c r="I17" s="1"/>
      <c r="J17" s="1"/>
      <c r="K17" s="1"/>
      <c r="L17" s="1"/>
    </row>
    <row r="18" spans="1:12" ht="54.95" customHeight="1">
      <c r="A18" s="3" t="s">
        <v>52</v>
      </c>
      <c r="B18" s="3" t="s">
        <v>64</v>
      </c>
      <c r="C18" s="3" t="s">
        <v>71</v>
      </c>
      <c r="D18" s="3" t="s">
        <v>53</v>
      </c>
      <c r="E18" s="3">
        <v>30</v>
      </c>
      <c r="F18" s="1"/>
      <c r="G18" s="1"/>
      <c r="H18" s="1"/>
      <c r="I18" s="1"/>
      <c r="J18" s="1"/>
      <c r="K18" s="1"/>
      <c r="L18" s="1"/>
    </row>
    <row r="19" spans="1:12" ht="54.95" customHeight="1">
      <c r="A19" s="3" t="s">
        <v>55</v>
      </c>
      <c r="B19" s="3" t="s">
        <v>64</v>
      </c>
      <c r="C19" s="3" t="s">
        <v>72</v>
      </c>
      <c r="D19" s="3" t="s">
        <v>73</v>
      </c>
      <c r="E19" s="3">
        <v>15</v>
      </c>
      <c r="F19" s="1"/>
      <c r="G19" s="1"/>
      <c r="H19" s="1"/>
      <c r="I19" s="1"/>
      <c r="J19" s="1"/>
      <c r="K19" s="1"/>
      <c r="L19" s="1"/>
    </row>
    <row r="20" spans="1:12" ht="54.95" customHeight="1">
      <c r="A20" s="3" t="s">
        <v>57</v>
      </c>
      <c r="B20" s="3" t="s">
        <v>64</v>
      </c>
      <c r="C20" s="3" t="s">
        <v>74</v>
      </c>
      <c r="D20" s="3" t="s">
        <v>75</v>
      </c>
      <c r="E20" s="3">
        <v>15</v>
      </c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 t="s">
        <v>76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 t="s">
        <v>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 t="s">
        <v>78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conditionalFormatting sqref="F6:F11">
    <cfRule type="cellIs" dxfId="15" priority="1" operator="between">
      <formula>1</formula>
      <formula>4</formula>
    </cfRule>
    <cfRule type="cellIs" dxfId="14" priority="2" operator="between">
      <formula>5</formula>
      <formula>9</formula>
    </cfRule>
    <cfRule type="cellIs" dxfId="13" priority="3" operator="between">
      <formula>10</formula>
      <formula>16</formula>
    </cfRule>
    <cfRule type="cellIs" dxfId="12" priority="4" operator="between">
      <formula>17</formula>
      <formula>25</formula>
    </cfRule>
  </conditionalFormatting>
  <conditionalFormatting sqref="J6:J11">
    <cfRule type="cellIs" dxfId="11" priority="5" operator="between">
      <formula>1</formula>
      <formula>4</formula>
    </cfRule>
    <cfRule type="cellIs" dxfId="10" priority="6" operator="between">
      <formula>5</formula>
      <formula>9</formula>
    </cfRule>
    <cfRule type="cellIs" dxfId="9" priority="7" operator="between">
      <formula>10</formula>
      <formula>16</formula>
    </cfRule>
    <cfRule type="cellIs" dxfId="8" priority="8" operator="between">
      <formula>17</formula>
      <formula>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showGridLines="0" topLeftCell="A30" workbookViewId="0"/>
  </sheetViews>
  <sheetFormatPr baseColWidth="10" defaultColWidth="9" defaultRowHeight="14.25"/>
  <cols>
    <col min="1" max="1" width="14" customWidth="1"/>
    <col min="2" max="2" width="34" customWidth="1"/>
    <col min="3" max="3" width="64" customWidth="1"/>
  </cols>
  <sheetData>
    <row r="1" spans="1:3">
      <c r="A1" s="1"/>
      <c r="B1" s="1"/>
      <c r="C1" s="1"/>
    </row>
    <row r="2" spans="1:3" ht="30" customHeight="1">
      <c r="A2" s="2" t="s">
        <v>79</v>
      </c>
      <c r="B2" s="1"/>
      <c r="C2" s="1"/>
    </row>
    <row r="3" spans="1:3">
      <c r="A3" s="1"/>
      <c r="B3" s="1"/>
      <c r="C3" s="1"/>
    </row>
    <row r="4" spans="1:3" ht="35.1" customHeight="1">
      <c r="A4" s="4" t="s">
        <v>34</v>
      </c>
      <c r="B4" s="4" t="s">
        <v>80</v>
      </c>
      <c r="C4" s="4" t="s">
        <v>81</v>
      </c>
    </row>
    <row r="5" spans="1:3" ht="35.1" customHeight="1">
      <c r="A5" s="3">
        <v>1</v>
      </c>
      <c r="B5" s="3" t="s">
        <v>82</v>
      </c>
      <c r="C5" s="3" t="s">
        <v>83</v>
      </c>
    </row>
    <row r="6" spans="1:3" ht="35.1" customHeight="1">
      <c r="A6" s="3">
        <v>2</v>
      </c>
      <c r="B6" s="3" t="s">
        <v>84</v>
      </c>
      <c r="C6" s="3" t="s">
        <v>85</v>
      </c>
    </row>
    <row r="7" spans="1:3" ht="35.1" customHeight="1">
      <c r="A7" s="3">
        <v>3</v>
      </c>
      <c r="B7" s="3" t="s">
        <v>86</v>
      </c>
      <c r="C7" s="3" t="s">
        <v>87</v>
      </c>
    </row>
    <row r="8" spans="1:3" ht="35.1" customHeight="1">
      <c r="A8" s="3">
        <v>4</v>
      </c>
      <c r="B8" s="3" t="s">
        <v>88</v>
      </c>
      <c r="C8" s="3" t="s">
        <v>89</v>
      </c>
    </row>
    <row r="9" spans="1:3" ht="35.1" customHeight="1">
      <c r="A9" s="3">
        <v>5</v>
      </c>
      <c r="B9" s="3" t="s">
        <v>90</v>
      </c>
      <c r="C9" s="3" t="s">
        <v>91</v>
      </c>
    </row>
    <row r="10" spans="1:3" ht="35.1" customHeight="1">
      <c r="A10" s="4" t="s">
        <v>35</v>
      </c>
      <c r="B10" s="4" t="s">
        <v>80</v>
      </c>
      <c r="C10" s="4" t="s">
        <v>92</v>
      </c>
    </row>
    <row r="11" spans="1:3" ht="35.1" customHeight="1">
      <c r="A11" s="3">
        <v>1</v>
      </c>
      <c r="B11" s="3" t="s">
        <v>93</v>
      </c>
      <c r="C11" s="3" t="s">
        <v>94</v>
      </c>
    </row>
    <row r="12" spans="1:3" ht="35.1" customHeight="1">
      <c r="A12" s="3">
        <v>2</v>
      </c>
      <c r="B12" s="3" t="s">
        <v>95</v>
      </c>
      <c r="C12" s="3" t="s">
        <v>96</v>
      </c>
    </row>
    <row r="13" spans="1:3" ht="35.1" customHeight="1">
      <c r="A13" s="3">
        <v>3</v>
      </c>
      <c r="B13" s="3" t="s">
        <v>97</v>
      </c>
      <c r="C13" s="3" t="s">
        <v>98</v>
      </c>
    </row>
    <row r="14" spans="1:3" ht="35.1" customHeight="1">
      <c r="A14" s="3">
        <v>4</v>
      </c>
      <c r="B14" s="3" t="s">
        <v>99</v>
      </c>
      <c r="C14" s="3" t="s">
        <v>100</v>
      </c>
    </row>
    <row r="15" spans="1:3" ht="35.1" customHeight="1">
      <c r="A15" s="3">
        <v>5</v>
      </c>
      <c r="B15" s="3" t="s">
        <v>101</v>
      </c>
      <c r="C15" s="3" t="s">
        <v>102</v>
      </c>
    </row>
    <row r="16" spans="1:3" ht="35.1" customHeight="1">
      <c r="A16" s="4" t="s">
        <v>103</v>
      </c>
      <c r="B16" s="4" t="s">
        <v>104</v>
      </c>
      <c r="C16" s="4" t="s">
        <v>105</v>
      </c>
    </row>
    <row r="17" spans="1:3" ht="35.1" customHeight="1">
      <c r="A17" s="3">
        <v>5</v>
      </c>
      <c r="B17" s="3" t="s">
        <v>106</v>
      </c>
      <c r="C17" s="3" t="s">
        <v>107</v>
      </c>
    </row>
    <row r="18" spans="1:3" ht="35.1" customHeight="1">
      <c r="A18" s="3">
        <v>10</v>
      </c>
      <c r="B18" s="3" t="s">
        <v>108</v>
      </c>
      <c r="C18" s="3" t="s">
        <v>109</v>
      </c>
    </row>
    <row r="19" spans="1:3" ht="35.1" customHeight="1">
      <c r="A19" s="3">
        <v>17</v>
      </c>
      <c r="B19" s="3" t="s">
        <v>110</v>
      </c>
      <c r="C19" s="3" t="s">
        <v>111</v>
      </c>
    </row>
    <row r="20" spans="1:3" ht="35.1" customHeight="1">
      <c r="A20" s="3">
        <v>1</v>
      </c>
      <c r="B20" s="3" t="s">
        <v>112</v>
      </c>
      <c r="C20" s="3" t="s">
        <v>113</v>
      </c>
    </row>
    <row r="21" spans="1:3" ht="35.1" customHeight="1">
      <c r="A21" s="3"/>
      <c r="B21" s="3"/>
      <c r="C21" s="3"/>
    </row>
    <row r="22" spans="1:3" ht="35.1" customHeight="1">
      <c r="A22" s="3" t="s">
        <v>114</v>
      </c>
      <c r="B22" s="3">
        <v>4</v>
      </c>
      <c r="C22" s="3"/>
    </row>
    <row r="23" spans="1:3" ht="35.1" customHeight="1">
      <c r="A23" s="3"/>
      <c r="B23" s="3"/>
      <c r="C23" s="3"/>
    </row>
    <row r="24" spans="1:3" ht="35.1" customHeight="1">
      <c r="A24" s="3" t="s">
        <v>115</v>
      </c>
      <c r="B24" s="3" t="s">
        <v>116</v>
      </c>
      <c r="C24" s="3" t="s">
        <v>117</v>
      </c>
    </row>
    <row r="25" spans="1:3" ht="35.1" customHeight="1">
      <c r="A25" s="3" t="s">
        <v>118</v>
      </c>
      <c r="B25" s="3" t="s">
        <v>119</v>
      </c>
      <c r="C25" s="3" t="s">
        <v>120</v>
      </c>
    </row>
    <row r="26" spans="1:3" ht="35.1" customHeight="1">
      <c r="A26" s="3" t="s">
        <v>35</v>
      </c>
      <c r="B26" s="3" t="s">
        <v>121</v>
      </c>
      <c r="C26" s="3" t="s">
        <v>122</v>
      </c>
    </row>
    <row r="27" spans="1:3" ht="35.1" customHeight="1">
      <c r="A27" s="3" t="s">
        <v>123</v>
      </c>
      <c r="B27" s="3" t="s">
        <v>124</v>
      </c>
      <c r="C27" s="3" t="s">
        <v>125</v>
      </c>
    </row>
    <row r="28" spans="1:3" ht="35.1" customHeight="1">
      <c r="A28" s="3" t="s">
        <v>126</v>
      </c>
      <c r="B28" s="3" t="s">
        <v>127</v>
      </c>
      <c r="C28" s="3" t="s">
        <v>128</v>
      </c>
    </row>
    <row r="29" spans="1:3" ht="35.1" customHeight="1">
      <c r="A29" s="3"/>
      <c r="B29" s="3"/>
      <c r="C29" s="3"/>
    </row>
    <row r="30" spans="1:3" ht="35.1" customHeight="1">
      <c r="A30" s="3" t="s">
        <v>129</v>
      </c>
      <c r="B30" s="3" t="s">
        <v>130</v>
      </c>
      <c r="C30" s="3" t="s">
        <v>131</v>
      </c>
    </row>
    <row r="31" spans="1:3" ht="35.1" customHeight="1">
      <c r="A31" s="3" t="s">
        <v>132</v>
      </c>
      <c r="B31" s="3" t="s">
        <v>133</v>
      </c>
      <c r="C31" s="3" t="s">
        <v>134</v>
      </c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baseColWidth="10" defaultColWidth="9" defaultRowHeight="14.25"/>
  <cols>
    <col min="1" max="1" width="10" customWidth="1"/>
    <col min="2" max="2" width="24" customWidth="1"/>
    <col min="3" max="3" width="20" customWidth="1"/>
    <col min="4" max="4" width="47" customWidth="1"/>
    <col min="5" max="5" width="43" customWidth="1"/>
  </cols>
  <sheetData>
    <row r="1" spans="1:5">
      <c r="A1" s="1"/>
      <c r="B1" s="1"/>
      <c r="C1" s="1"/>
      <c r="D1" s="1"/>
      <c r="E1" s="1"/>
    </row>
    <row r="2" spans="1:5" ht="30" customHeight="1">
      <c r="A2" s="2" t="s">
        <v>135</v>
      </c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 ht="33.950000000000003" customHeight="1">
      <c r="A4" s="4" t="s">
        <v>136</v>
      </c>
      <c r="B4" s="4" t="s">
        <v>137</v>
      </c>
      <c r="C4" s="4" t="s">
        <v>138</v>
      </c>
      <c r="D4" s="4" t="s">
        <v>139</v>
      </c>
      <c r="E4" s="4" t="s">
        <v>140</v>
      </c>
    </row>
    <row r="5" spans="1:5" ht="48" customHeight="1">
      <c r="A5" s="3" t="s">
        <v>141</v>
      </c>
      <c r="B5" s="3" t="s">
        <v>142</v>
      </c>
      <c r="C5" s="3" t="s">
        <v>143</v>
      </c>
      <c r="D5" s="3" t="s">
        <v>144</v>
      </c>
      <c r="E5" s="3" t="s">
        <v>145</v>
      </c>
    </row>
    <row r="6" spans="1:5" ht="48" customHeight="1">
      <c r="A6" s="3" t="s">
        <v>146</v>
      </c>
      <c r="B6" s="3" t="s">
        <v>147</v>
      </c>
      <c r="C6" s="3" t="s">
        <v>143</v>
      </c>
      <c r="D6" s="3" t="s">
        <v>148</v>
      </c>
      <c r="E6" s="3" t="s">
        <v>67</v>
      </c>
    </row>
    <row r="7" spans="1:5" ht="48" customHeight="1">
      <c r="A7" s="3" t="s">
        <v>149</v>
      </c>
      <c r="B7" s="3" t="s">
        <v>150</v>
      </c>
      <c r="C7" s="3" t="s">
        <v>151</v>
      </c>
      <c r="D7" s="3" t="s">
        <v>152</v>
      </c>
      <c r="E7" s="3" t="s">
        <v>153</v>
      </c>
    </row>
    <row r="8" spans="1:5" ht="48" customHeight="1">
      <c r="A8" s="3" t="s">
        <v>154</v>
      </c>
      <c r="B8" s="3" t="s">
        <v>155</v>
      </c>
      <c r="C8" s="3" t="s">
        <v>156</v>
      </c>
      <c r="D8" s="3" t="s">
        <v>157</v>
      </c>
      <c r="E8" s="3" t="s">
        <v>71</v>
      </c>
    </row>
    <row r="9" spans="1:5" ht="48" customHeight="1">
      <c r="A9" s="3" t="s">
        <v>158</v>
      </c>
      <c r="B9" s="3" t="s">
        <v>159</v>
      </c>
      <c r="C9" s="3" t="s">
        <v>160</v>
      </c>
      <c r="D9" s="3" t="s">
        <v>161</v>
      </c>
      <c r="E9" s="3" t="s">
        <v>162</v>
      </c>
    </row>
    <row r="10" spans="1:5" ht="48" customHeight="1">
      <c r="A10" s="3" t="s">
        <v>163</v>
      </c>
      <c r="B10" s="3" t="s">
        <v>164</v>
      </c>
      <c r="C10" s="3" t="s">
        <v>151</v>
      </c>
      <c r="D10" s="3" t="s">
        <v>165</v>
      </c>
      <c r="E10" s="3" t="s">
        <v>166</v>
      </c>
    </row>
    <row r="11" spans="1:5" ht="48" customHeight="1">
      <c r="A11" s="3" t="s">
        <v>167</v>
      </c>
      <c r="B11" s="3" t="s">
        <v>168</v>
      </c>
      <c r="C11" s="3" t="s">
        <v>156</v>
      </c>
      <c r="D11" s="3" t="s">
        <v>169</v>
      </c>
      <c r="E11" s="3" t="s">
        <v>170</v>
      </c>
    </row>
    <row r="12" spans="1:5" ht="48" customHeight="1">
      <c r="A12" s="3" t="s">
        <v>171</v>
      </c>
      <c r="B12" s="3" t="s">
        <v>172</v>
      </c>
      <c r="C12" s="3" t="s">
        <v>156</v>
      </c>
      <c r="D12" s="3" t="s">
        <v>173</v>
      </c>
      <c r="E12" s="3" t="s">
        <v>174</v>
      </c>
    </row>
    <row r="13" spans="1:5" ht="48" customHeight="1">
      <c r="A13" s="3" t="s">
        <v>175</v>
      </c>
      <c r="B13" s="3" t="s">
        <v>176</v>
      </c>
      <c r="C13" s="3" t="s">
        <v>177</v>
      </c>
      <c r="D13" s="3" t="s">
        <v>178</v>
      </c>
      <c r="E13" s="3" t="s">
        <v>179</v>
      </c>
    </row>
    <row r="14" spans="1:5" ht="48" customHeight="1">
      <c r="A14" s="3" t="s">
        <v>180</v>
      </c>
      <c r="B14" s="3" t="s">
        <v>181</v>
      </c>
      <c r="C14" s="3" t="s">
        <v>182</v>
      </c>
      <c r="D14" s="3" t="s">
        <v>183</v>
      </c>
      <c r="E14" s="3" t="s">
        <v>184</v>
      </c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showGridLines="0" workbookViewId="0">
      <pane ySplit="9" topLeftCell="A15" activePane="bottomLeft" state="frozen"/>
      <selection pane="bottomLeft" activeCell="B15" sqref="B15"/>
    </sheetView>
  </sheetViews>
  <sheetFormatPr baseColWidth="10" defaultColWidth="9" defaultRowHeight="14.25"/>
  <cols>
    <col min="1" max="1" width="10" customWidth="1"/>
    <col min="2" max="2" width="29" customWidth="1"/>
    <col min="3" max="3" width="19" customWidth="1"/>
    <col min="4" max="5" width="24" customWidth="1"/>
    <col min="6" max="9" width="11" customWidth="1"/>
    <col min="10" max="10" width="32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185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5.1" customHeight="1">
      <c r="A4" s="1" t="s">
        <v>186</v>
      </c>
      <c r="B4" s="5" t="s">
        <v>187</v>
      </c>
      <c r="C4" s="1"/>
      <c r="D4" s="1"/>
      <c r="E4" s="1"/>
      <c r="F4" s="1"/>
      <c r="G4" s="1"/>
      <c r="H4" s="1"/>
      <c r="I4" s="1"/>
      <c r="J4" s="1"/>
    </row>
    <row r="5" spans="1:10" ht="35.1" customHeight="1">
      <c r="A5" s="1" t="s">
        <v>188</v>
      </c>
      <c r="B5" s="5" t="s">
        <v>245</v>
      </c>
      <c r="C5" s="1"/>
      <c r="D5" s="1"/>
      <c r="E5" s="1"/>
      <c r="F5" s="1"/>
      <c r="G5" s="1"/>
      <c r="H5" s="1"/>
      <c r="I5" s="1"/>
      <c r="J5" s="1"/>
    </row>
    <row r="6" spans="1:10" ht="35.1" customHeight="1">
      <c r="A6" s="1" t="s">
        <v>189</v>
      </c>
      <c r="B6" s="5" t="s">
        <v>190</v>
      </c>
      <c r="C6" s="1"/>
      <c r="D6" s="1"/>
      <c r="E6" s="1"/>
      <c r="F6" s="1"/>
      <c r="G6" s="1"/>
      <c r="H6" s="1"/>
      <c r="I6" s="1"/>
      <c r="J6" s="1"/>
    </row>
    <row r="7" spans="1:10" ht="35.1" customHeight="1">
      <c r="A7" s="1" t="s">
        <v>191</v>
      </c>
      <c r="B7" s="5" t="s">
        <v>192</v>
      </c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33.950000000000003" customHeight="1">
      <c r="A9" s="4" t="s">
        <v>31</v>
      </c>
      <c r="B9" s="4" t="s">
        <v>193</v>
      </c>
      <c r="C9" s="4" t="s">
        <v>138</v>
      </c>
      <c r="D9" s="4" t="s">
        <v>194</v>
      </c>
      <c r="E9" s="4" t="s">
        <v>195</v>
      </c>
      <c r="F9" s="4" t="s">
        <v>196</v>
      </c>
      <c r="G9" s="4" t="s">
        <v>197</v>
      </c>
      <c r="H9" s="4" t="s">
        <v>198</v>
      </c>
      <c r="I9" s="4" t="s">
        <v>199</v>
      </c>
      <c r="J9" s="4" t="s">
        <v>200</v>
      </c>
    </row>
    <row r="10" spans="1:10" ht="42" customHeight="1">
      <c r="A10" s="5" t="s">
        <v>201</v>
      </c>
      <c r="B10" s="5" t="s">
        <v>202</v>
      </c>
      <c r="C10" s="5" t="s">
        <v>203</v>
      </c>
      <c r="D10" s="5" t="s">
        <v>246</v>
      </c>
      <c r="E10" s="5" t="s">
        <v>204</v>
      </c>
      <c r="F10" s="5">
        <v>3</v>
      </c>
      <c r="G10" s="5">
        <v>4</v>
      </c>
      <c r="H10" s="5">
        <v>5</v>
      </c>
      <c r="I10" s="5">
        <v>3</v>
      </c>
      <c r="J10" s="5" t="s">
        <v>251</v>
      </c>
    </row>
    <row r="11" spans="1:10" ht="42" customHeight="1">
      <c r="A11" s="5" t="s">
        <v>205</v>
      </c>
      <c r="B11" s="5" t="s">
        <v>206</v>
      </c>
      <c r="C11" s="5" t="s">
        <v>207</v>
      </c>
      <c r="D11" s="5" t="s">
        <v>247</v>
      </c>
      <c r="E11" s="5" t="s">
        <v>208</v>
      </c>
      <c r="F11" s="5">
        <v>5</v>
      </c>
      <c r="G11" s="5">
        <v>5</v>
      </c>
      <c r="H11" s="5">
        <v>4</v>
      </c>
      <c r="I11" s="5">
        <v>4</v>
      </c>
      <c r="J11" s="5" t="s">
        <v>252</v>
      </c>
    </row>
    <row r="12" spans="1:10" ht="42" customHeight="1">
      <c r="A12" s="5" t="s">
        <v>209</v>
      </c>
      <c r="B12" s="5" t="s">
        <v>210</v>
      </c>
      <c r="C12" s="5" t="s">
        <v>211</v>
      </c>
      <c r="D12" s="5" t="s">
        <v>248</v>
      </c>
      <c r="E12" s="5" t="s">
        <v>208</v>
      </c>
      <c r="F12" s="5">
        <v>4</v>
      </c>
      <c r="G12" s="5">
        <v>4</v>
      </c>
      <c r="H12" s="5">
        <v>4</v>
      </c>
      <c r="I12" s="5">
        <v>5</v>
      </c>
      <c r="J12" s="5" t="s">
        <v>253</v>
      </c>
    </row>
    <row r="13" spans="1:10" ht="42" customHeight="1">
      <c r="A13" s="5" t="s">
        <v>212</v>
      </c>
      <c r="B13" s="5" t="s">
        <v>213</v>
      </c>
      <c r="C13" s="5" t="s">
        <v>53</v>
      </c>
      <c r="D13" s="5" t="s">
        <v>249</v>
      </c>
      <c r="E13" s="5" t="s">
        <v>214</v>
      </c>
      <c r="F13" s="5">
        <v>2</v>
      </c>
      <c r="G13" s="5">
        <v>3</v>
      </c>
      <c r="H13" s="5">
        <v>5</v>
      </c>
      <c r="I13" s="5">
        <v>2</v>
      </c>
      <c r="J13" s="5" t="s">
        <v>254</v>
      </c>
    </row>
    <row r="14" spans="1:10" ht="42" customHeight="1">
      <c r="A14" s="5" t="s">
        <v>215</v>
      </c>
      <c r="B14" s="5" t="s">
        <v>216</v>
      </c>
      <c r="C14" s="5" t="s">
        <v>217</v>
      </c>
      <c r="D14" s="5" t="s">
        <v>250</v>
      </c>
      <c r="E14" s="5" t="s">
        <v>208</v>
      </c>
      <c r="F14" s="5">
        <v>5</v>
      </c>
      <c r="G14" s="5">
        <v>5</v>
      </c>
      <c r="H14" s="5">
        <v>3</v>
      </c>
      <c r="I14" s="5">
        <v>2</v>
      </c>
      <c r="J14" s="5" t="s">
        <v>255</v>
      </c>
    </row>
    <row r="15" spans="1:10" ht="42" customHeight="1">
      <c r="A15" s="5" t="s">
        <v>214</v>
      </c>
      <c r="B15" s="5" t="s">
        <v>218</v>
      </c>
      <c r="C15" s="5" t="s">
        <v>219</v>
      </c>
      <c r="D15" s="5" t="s">
        <v>248</v>
      </c>
      <c r="E15" s="5"/>
      <c r="F15" s="5">
        <v>4</v>
      </c>
      <c r="G15" s="5">
        <v>3</v>
      </c>
      <c r="H15" s="5">
        <v>2</v>
      </c>
      <c r="I15" s="5">
        <v>5</v>
      </c>
      <c r="J15" s="5" t="s">
        <v>256</v>
      </c>
    </row>
    <row r="16" spans="1:10" ht="42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42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42" customHeight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42" customHeight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42" customHeight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42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42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42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42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42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42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42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42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42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dataValidations count="2">
    <dataValidation type="whole" sqref="F10:I29" xr:uid="{00000000-0002-0000-0400-000000000000}">
      <formula1>1</formula1>
      <formula2>5</formula2>
    </dataValidation>
    <dataValidation type="list" sqref="C10:C29" xr:uid="{00000000-0002-0000-0400-000004000000}">
      <formula1>"Servicio,Datos,Software,Infraestructura,Recuperación,Personas"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4" sqref="A4"/>
    </sheetView>
  </sheetViews>
  <sheetFormatPr baseColWidth="10" defaultColWidth="9" defaultRowHeight="14.25"/>
  <cols>
    <col min="1" max="1" width="9" customWidth="1"/>
    <col min="2" max="2" width="10" customWidth="1"/>
    <col min="3" max="3" width="27" customWidth="1"/>
    <col min="4" max="4" width="10" customWidth="1"/>
    <col min="5" max="5" width="26" customWidth="1"/>
    <col min="6" max="6" width="37" customWidth="1"/>
    <col min="7" max="7" width="16" customWidth="1"/>
    <col min="8" max="8" width="36" customWidth="1"/>
    <col min="9" max="10" width="9" customWidth="1"/>
    <col min="11" max="11" width="46" customWidth="1"/>
    <col min="12" max="12" width="30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2" t="s">
        <v>220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 t="s">
        <v>221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3.950000000000003" customHeight="1">
      <c r="A5" s="4" t="s">
        <v>222</v>
      </c>
      <c r="B5" s="4" t="s">
        <v>223</v>
      </c>
      <c r="C5" s="4" t="s">
        <v>224</v>
      </c>
      <c r="D5" s="4" t="s">
        <v>225</v>
      </c>
      <c r="E5" s="4" t="s">
        <v>226</v>
      </c>
      <c r="F5" s="4" t="s">
        <v>227</v>
      </c>
      <c r="G5" s="4" t="s">
        <v>115</v>
      </c>
      <c r="H5" s="4" t="s">
        <v>228</v>
      </c>
      <c r="I5" s="4" t="s">
        <v>229</v>
      </c>
      <c r="J5" s="4" t="s">
        <v>197</v>
      </c>
      <c r="K5" s="4" t="s">
        <v>230</v>
      </c>
      <c r="L5" s="4" t="s">
        <v>231</v>
      </c>
    </row>
    <row r="6" spans="1:12" ht="57.95" customHeight="1">
      <c r="A6" s="5" t="s">
        <v>302</v>
      </c>
      <c r="B6" s="5" t="s">
        <v>312</v>
      </c>
      <c r="C6" s="6" t="str">
        <f>IF(B6="","",IF(COUNTIF(Activos!$A$10:$A$29,B6)&lt;&gt;1,"ID activo inválido",IF(COUNTIFS(Activos!$A$10:$A$29,B6,Activos!$B$10:$B$29,"&lt;&gt;")&lt;&gt;1,"Falta nombre",VLOOKUP(B6,Activos!$A$10:$B$29,2,FALSE))))</f>
        <v/>
      </c>
      <c r="D6" s="5" t="s">
        <v>318</v>
      </c>
      <c r="E6" s="6" t="str">
        <f>IF(D6="","",IF(COUNTIF('Catálogo amenazas'!$A$5:$A$14,D6)&lt;&gt;1,"ID amenaza inválido",VLOOKUP(D6,'Catálogo amenazas'!$A$5:$B$14,2,FALSE)))</f>
        <v/>
      </c>
      <c r="F6" s="5" t="s">
        <v>258</v>
      </c>
      <c r="G6" s="5" t="s">
        <v>328</v>
      </c>
      <c r="H6" s="5" t="s">
        <v>257</v>
      </c>
      <c r="I6" s="5">
        <v>3</v>
      </c>
      <c r="J6" s="5">
        <v>5</v>
      </c>
      <c r="K6" s="5" t="s">
        <v>268</v>
      </c>
      <c r="L6" s="6" t="str">
        <f t="shared" ref="L6:L25" si="0">IF(COUNTA(A6:B6,D6,F6:K6)=0,"",IF(A6="","Falta ID riesgo",IF(COUNTIF($A$6:$A$25,A6)&lt;&gt;1,"ID riesgo duplicado",IF(OR(B6="",C6="ID activo inválido",C6="Falta nombre"),"Revisar activo",IF(OR(D6="",E6="ID amenaza inválido"),"Revisar amenaza",IF(OR(F6="",G6="",H6="",K6=""),"Falta descripción o justificación",IF(OR(COUNT(I6:J6)&lt;&gt;2,I6&lt;1,I6&gt;5,J6&lt;1,J6&gt;5,MOD(I6,1)&lt;&gt;0,MOD(J6,1)&lt;&gt;0),"P e I deben ser enteros 1–5","Listo")))))))</f>
        <v/>
      </c>
    </row>
    <row r="7" spans="1:12" ht="57.95" customHeight="1">
      <c r="A7" s="5" t="s">
        <v>303</v>
      </c>
      <c r="B7" s="5" t="s">
        <v>313</v>
      </c>
      <c r="C7" s="6" t="str">
        <f>IF(B7="","",IF(COUNTIF(Activos!$A$10:$A$29,B7)&lt;&gt;1,"ID activo inválido",IF(COUNTIFS(Activos!$A$10:$A$29,B7,Activos!$B$10:$B$29,"&lt;&gt;")&lt;&gt;1,"Falta nombre",VLOOKUP(B7,Activos!$A$10:$B$29,2,FALSE))))</f>
        <v/>
      </c>
      <c r="D7" s="5" t="s">
        <v>319</v>
      </c>
      <c r="E7" s="6" t="str">
        <f>IF(D7="","",IF(COUNTIF('Catálogo amenazas'!$A$5:$A$14,D7)&lt;&gt;1,"ID amenaza inválido",VLOOKUP(D7,'Catálogo amenazas'!$A$5:$B$14,2,FALSE)))</f>
        <v/>
      </c>
      <c r="F7" s="5" t="s">
        <v>259</v>
      </c>
      <c r="G7" s="5" t="s">
        <v>329</v>
      </c>
      <c r="H7" s="5" t="s">
        <v>257</v>
      </c>
      <c r="I7" s="5">
        <v>4</v>
      </c>
      <c r="J7" s="5">
        <v>4</v>
      </c>
      <c r="K7" s="5" t="s">
        <v>269</v>
      </c>
      <c r="L7" s="6" t="str">
        <f t="shared" si="0"/>
        <v/>
      </c>
    </row>
    <row r="8" spans="1:12" ht="57.95" customHeight="1">
      <c r="A8" s="5" t="s">
        <v>304</v>
      </c>
      <c r="B8" s="5" t="s">
        <v>314</v>
      </c>
      <c r="C8" s="6" t="str">
        <f>IF(B8="","",IF(COUNTIF(Activos!$A$10:$A$29,B8)&lt;&gt;1,"ID activo inválido",IF(COUNTIFS(Activos!$A$10:$A$29,B8,Activos!$B$10:$B$29,"&lt;&gt;")&lt;&gt;1,"Falta nombre",VLOOKUP(B8,Activos!$A$10:$B$29,2,FALSE))))</f>
        <v/>
      </c>
      <c r="D8" s="5" t="s">
        <v>320</v>
      </c>
      <c r="E8" s="6" t="str">
        <f>IF(D8="","",IF(COUNTIF('Catálogo amenazas'!$A$5:$A$14,D8)&lt;&gt;1,"ID amenaza inválido",VLOOKUP(D8,'Catálogo amenazas'!$A$5:$B$14,2,FALSE)))</f>
        <v/>
      </c>
      <c r="F8" s="5" t="s">
        <v>260</v>
      </c>
      <c r="G8" s="5" t="s">
        <v>330</v>
      </c>
      <c r="H8" s="5" t="s">
        <v>257</v>
      </c>
      <c r="I8" s="5">
        <v>3</v>
      </c>
      <c r="J8" s="5">
        <v>5</v>
      </c>
      <c r="K8" s="5" t="s">
        <v>270</v>
      </c>
      <c r="L8" s="6" t="str">
        <f t="shared" si="0"/>
        <v/>
      </c>
    </row>
    <row r="9" spans="1:12" ht="57.95" customHeight="1">
      <c r="A9" s="5" t="s">
        <v>305</v>
      </c>
      <c r="B9" s="5" t="s">
        <v>315</v>
      </c>
      <c r="C9" s="6" t="str">
        <f>IF(B9="","",IF(COUNTIF(Activos!$A$10:$A$29,B9)&lt;&gt;1,"ID activo inválido",IF(COUNTIFS(Activos!$A$10:$A$29,B9,Activos!$B$10:$B$29,"&lt;&gt;")&lt;&gt;1,"Falta nombre",VLOOKUP(B9,Activos!$A$10:$B$29,2,FALSE))))</f>
        <v/>
      </c>
      <c r="D9" s="5" t="s">
        <v>321</v>
      </c>
      <c r="E9" s="6" t="str">
        <f>IF(D9="","",IF(COUNTIF('Catálogo amenazas'!$A$5:$A$14,D9)&lt;&gt;1,"ID amenaza inválido",VLOOKUP(D9,'Catálogo amenazas'!$A$5:$B$14,2,FALSE)))</f>
        <v/>
      </c>
      <c r="F9" s="5" t="s">
        <v>261</v>
      </c>
      <c r="G9" s="5" t="s">
        <v>328</v>
      </c>
      <c r="H9" s="5" t="s">
        <v>257</v>
      </c>
      <c r="I9" s="5">
        <v>3</v>
      </c>
      <c r="J9" s="5">
        <v>3</v>
      </c>
      <c r="K9" s="5" t="s">
        <v>271</v>
      </c>
      <c r="L9" s="6" t="str">
        <f t="shared" si="0"/>
        <v/>
      </c>
    </row>
    <row r="10" spans="1:12" ht="57.95" customHeight="1">
      <c r="A10" s="5" t="s">
        <v>306</v>
      </c>
      <c r="B10" s="5" t="s">
        <v>314</v>
      </c>
      <c r="C10" s="6" t="str">
        <f>IF(B10="","",IF(COUNTIF(Activos!$A$10:$A$29,B10)&lt;&gt;1,"ID activo inválido",IF(COUNTIFS(Activos!$A$10:$A$29,B10,Activos!$B$10:$B$29,"&lt;&gt;")&lt;&gt;1,"Falta nombre",VLOOKUP(B10,Activos!$A$10:$B$29,2,FALSE))))</f>
        <v/>
      </c>
      <c r="D10" s="5" t="s">
        <v>322</v>
      </c>
      <c r="E10" s="6" t="str">
        <f>IF(D10="","",IF(COUNTIF('Catálogo amenazas'!$A$5:$A$14,D10)&lt;&gt;1,"ID amenaza inválido",VLOOKUP(D10,'Catálogo amenazas'!$A$5:$B$14,2,FALSE)))</f>
        <v/>
      </c>
      <c r="F10" s="5" t="s">
        <v>262</v>
      </c>
      <c r="G10" s="5" t="s">
        <v>328</v>
      </c>
      <c r="H10" s="5" t="s">
        <v>257</v>
      </c>
      <c r="I10" s="5">
        <v>3</v>
      </c>
      <c r="J10" s="5">
        <v>4</v>
      </c>
      <c r="K10" s="5" t="s">
        <v>272</v>
      </c>
      <c r="L10" s="6" t="str">
        <f t="shared" si="0"/>
        <v/>
      </c>
    </row>
    <row r="11" spans="1:12" ht="57.95" customHeight="1">
      <c r="A11" s="5" t="s">
        <v>307</v>
      </c>
      <c r="B11" s="5" t="s">
        <v>314</v>
      </c>
      <c r="C11" s="6" t="str">
        <f>IF(B11="","",IF(COUNTIF(Activos!$A$10:$A$29,B11)&lt;&gt;1,"ID activo inválido",IF(COUNTIFS(Activos!$A$10:$A$29,B11,Activos!$B$10:$B$29,"&lt;&gt;")&lt;&gt;1,"Falta nombre",VLOOKUP(B11,Activos!$A$10:$B$29,2,FALSE))))</f>
        <v/>
      </c>
      <c r="D11" s="5" t="s">
        <v>323</v>
      </c>
      <c r="E11" s="6" t="str">
        <f>IF(D11="","",IF(COUNTIF('Catálogo amenazas'!$A$5:$A$14,D11)&lt;&gt;1,"ID amenaza inválido",VLOOKUP(D11,'Catálogo amenazas'!$A$5:$B$14,2,FALSE)))</f>
        <v/>
      </c>
      <c r="F11" s="5" t="s">
        <v>263</v>
      </c>
      <c r="G11" s="5" t="s">
        <v>329</v>
      </c>
      <c r="H11" s="5" t="s">
        <v>257</v>
      </c>
      <c r="I11" s="5">
        <v>3</v>
      </c>
      <c r="J11" s="5">
        <v>5</v>
      </c>
      <c r="K11" s="5" t="s">
        <v>273</v>
      </c>
      <c r="L11" s="6" t="str">
        <f t="shared" si="0"/>
        <v/>
      </c>
    </row>
    <row r="12" spans="1:12" ht="57.95" customHeight="1">
      <c r="A12" s="5" t="s">
        <v>308</v>
      </c>
      <c r="B12" s="5" t="s">
        <v>315</v>
      </c>
      <c r="C12" s="6" t="str">
        <f>IF(B12="","",IF(COUNTIF(Activos!$A$10:$A$29,B12)&lt;&gt;1,"ID activo inválido",IF(COUNTIFS(Activos!$A$10:$A$29,B12,Activos!$B$10:$B$29,"&lt;&gt;")&lt;&gt;1,"Falta nombre",VLOOKUP(B12,Activos!$A$10:$B$29,2,FALSE))))</f>
        <v/>
      </c>
      <c r="D12" s="5" t="s">
        <v>324</v>
      </c>
      <c r="E12" s="6" t="str">
        <f>IF(D12="","",IF(COUNTIF('Catálogo amenazas'!$A$5:$A$14,D12)&lt;&gt;1,"ID amenaza inválido",VLOOKUP(D12,'Catálogo amenazas'!$A$5:$B$14,2,FALSE)))</f>
        <v/>
      </c>
      <c r="F12" s="5" t="s">
        <v>264</v>
      </c>
      <c r="G12" s="5" t="s">
        <v>328</v>
      </c>
      <c r="H12" s="5" t="s">
        <v>257</v>
      </c>
      <c r="I12" s="5">
        <v>2</v>
      </c>
      <c r="J12" s="5">
        <v>4</v>
      </c>
      <c r="K12" s="5" t="s">
        <v>274</v>
      </c>
      <c r="L12" s="6" t="str">
        <f t="shared" si="0"/>
        <v/>
      </c>
    </row>
    <row r="13" spans="1:12" ht="57.95" customHeight="1">
      <c r="A13" s="5" t="s">
        <v>309</v>
      </c>
      <c r="B13" s="5" t="s">
        <v>316</v>
      </c>
      <c r="C13" s="6" t="str">
        <f>IF(B13="","",IF(COUNTIF(Activos!$A$10:$A$29,B13)&lt;&gt;1,"ID activo inválido",IF(COUNTIFS(Activos!$A$10:$A$29,B13,Activos!$B$10:$B$29,"&lt;&gt;")&lt;&gt;1,"Falta nombre",VLOOKUP(B13,Activos!$A$10:$B$29,2,FALSE))))</f>
        <v/>
      </c>
      <c r="D13" s="5" t="s">
        <v>325</v>
      </c>
      <c r="E13" s="6" t="str">
        <f>IF(D13="","",IF(COUNTIF('Catálogo amenazas'!$A$5:$A$14,D13)&lt;&gt;1,"ID amenaza inválido",VLOOKUP(D13,'Catálogo amenazas'!$A$5:$B$14,2,FALSE)))</f>
        <v/>
      </c>
      <c r="F13" s="5" t="s">
        <v>265</v>
      </c>
      <c r="G13" s="5" t="s">
        <v>328</v>
      </c>
      <c r="H13" s="5" t="s">
        <v>257</v>
      </c>
      <c r="I13" s="5">
        <v>2</v>
      </c>
      <c r="J13" s="5">
        <v>3</v>
      </c>
      <c r="K13" s="5" t="s">
        <v>275</v>
      </c>
      <c r="L13" s="6" t="str">
        <f t="shared" si="0"/>
        <v/>
      </c>
    </row>
    <row r="14" spans="1:12" ht="57.95" customHeight="1">
      <c r="A14" s="5" t="s">
        <v>310</v>
      </c>
      <c r="B14" s="5" t="s">
        <v>314</v>
      </c>
      <c r="C14" s="6" t="str">
        <f>IF(B14="","",IF(COUNTIF(Activos!$A$10:$A$29,B14)&lt;&gt;1,"ID activo inválido",IF(COUNTIFS(Activos!$A$10:$A$29,B14,Activos!$B$10:$B$29,"&lt;&gt;")&lt;&gt;1,"Falta nombre",VLOOKUP(B14,Activos!$A$10:$B$29,2,FALSE))))</f>
        <v/>
      </c>
      <c r="D14" s="5" t="s">
        <v>326</v>
      </c>
      <c r="E14" s="6" t="str">
        <f>IF(D14="","",IF(COUNTIF('Catálogo amenazas'!$A$5:$A$14,D14)&lt;&gt;1,"ID amenaza inválido",VLOOKUP(D14,'Catálogo amenazas'!$A$5:$B$14,2,FALSE)))</f>
        <v/>
      </c>
      <c r="F14" s="5" t="s">
        <v>266</v>
      </c>
      <c r="G14" s="5" t="s">
        <v>329</v>
      </c>
      <c r="H14" s="5" t="s">
        <v>257</v>
      </c>
      <c r="I14" s="5">
        <v>2</v>
      </c>
      <c r="J14" s="5">
        <v>5</v>
      </c>
      <c r="K14" s="5" t="s">
        <v>276</v>
      </c>
      <c r="L14" s="6" t="str">
        <f t="shared" si="0"/>
        <v/>
      </c>
    </row>
    <row r="15" spans="1:12" ht="57.95" customHeight="1">
      <c r="A15" s="5" t="s">
        <v>311</v>
      </c>
      <c r="B15" s="5" t="s">
        <v>317</v>
      </c>
      <c r="C15" s="6" t="str">
        <f>IF(B15="","",IF(COUNTIF(Activos!$A$10:$A$29,B15)&lt;&gt;1,"ID activo inválido",IF(COUNTIFS(Activos!$A$10:$A$29,B15,Activos!$B$10:$B$29,"&lt;&gt;")&lt;&gt;1,"Falta nombre",VLOOKUP(B15,Activos!$A$10:$B$29,2,FALSE))))</f>
        <v/>
      </c>
      <c r="D15" s="5" t="s">
        <v>327</v>
      </c>
      <c r="E15" s="6" t="str">
        <f>IF(D15="","",IF(COUNTIF('Catálogo amenazas'!$A$5:$A$14,D15)&lt;&gt;1,"ID amenaza inválido",VLOOKUP(D15,'Catálogo amenazas'!$A$5:$B$14,2,FALSE)))</f>
        <v/>
      </c>
      <c r="F15" s="5" t="s">
        <v>267</v>
      </c>
      <c r="G15" s="5" t="s">
        <v>328</v>
      </c>
      <c r="H15" s="5" t="s">
        <v>257</v>
      </c>
      <c r="I15" s="5">
        <v>3</v>
      </c>
      <c r="J15" s="5">
        <v>3</v>
      </c>
      <c r="K15" s="5" t="s">
        <v>277</v>
      </c>
      <c r="L15" s="6" t="str">
        <f t="shared" si="0"/>
        <v/>
      </c>
    </row>
    <row r="16" spans="1:12" ht="57.95" customHeight="1">
      <c r="A16" s="5"/>
      <c r="B16" s="5"/>
      <c r="C16" s="6" t="str">
        <f>IF(B16="","",IF(COUNTIF(Activos!$A$10:$A$29,B16)&lt;&gt;1,"ID activo inválido",IF(COUNTIFS(Activos!$A$10:$A$29,B16,Activos!$B$10:$B$29,"&lt;&gt;")&lt;&gt;1,"Falta nombre",VLOOKUP(B16,Activos!$A$10:$B$29,2,FALSE))))</f>
        <v/>
      </c>
      <c r="D16" s="5"/>
      <c r="E16" s="6" t="str">
        <f>IF(D16="","",IF(COUNTIF('Catálogo amenazas'!$A$5:$A$14,D16)&lt;&gt;1,"ID amenaza inválido",VLOOKUP(D16,'Catálogo amenazas'!$A$5:$B$14,2,FALSE)))</f>
        <v/>
      </c>
      <c r="F16" s="5"/>
      <c r="G16" s="5"/>
      <c r="H16" s="5"/>
      <c r="I16" s="5"/>
      <c r="J16" s="5"/>
      <c r="K16" s="5"/>
      <c r="L16" s="6" t="str">
        <f t="shared" si="0"/>
        <v/>
      </c>
    </row>
    <row r="17" spans="1:12" ht="57.95" customHeight="1">
      <c r="A17" s="5"/>
      <c r="B17" s="5"/>
      <c r="C17" s="6" t="str">
        <f>IF(B17="","",IF(COUNTIF(Activos!$A$10:$A$29,B17)&lt;&gt;1,"ID activo inválido",IF(COUNTIFS(Activos!$A$10:$A$29,B17,Activos!$B$10:$B$29,"&lt;&gt;")&lt;&gt;1,"Falta nombre",VLOOKUP(B17,Activos!$A$10:$B$29,2,FALSE))))</f>
        <v/>
      </c>
      <c r="D17" s="5"/>
      <c r="E17" s="6" t="str">
        <f>IF(D17="","",IF(COUNTIF('Catálogo amenazas'!$A$5:$A$14,D17)&lt;&gt;1,"ID amenaza inválido",VLOOKUP(D17,'Catálogo amenazas'!$A$5:$B$14,2,FALSE)))</f>
        <v/>
      </c>
      <c r="F17" s="5"/>
      <c r="G17" s="5"/>
      <c r="H17" s="5"/>
      <c r="I17" s="5"/>
      <c r="J17" s="5"/>
      <c r="K17" s="5"/>
      <c r="L17" s="6" t="str">
        <f t="shared" si="0"/>
        <v/>
      </c>
    </row>
    <row r="18" spans="1:12" ht="57.95" customHeight="1">
      <c r="A18" s="5"/>
      <c r="B18" s="5"/>
      <c r="C18" s="6" t="str">
        <f>IF(B18="","",IF(COUNTIF(Activos!$A$10:$A$29,B18)&lt;&gt;1,"ID activo inválido",IF(COUNTIFS(Activos!$A$10:$A$29,B18,Activos!$B$10:$B$29,"&lt;&gt;")&lt;&gt;1,"Falta nombre",VLOOKUP(B18,Activos!$A$10:$B$29,2,FALSE))))</f>
        <v/>
      </c>
      <c r="D18" s="5"/>
      <c r="E18" s="6" t="str">
        <f>IF(D18="","",IF(COUNTIF('Catálogo amenazas'!$A$5:$A$14,D18)&lt;&gt;1,"ID amenaza inválido",VLOOKUP(D18,'Catálogo amenazas'!$A$5:$B$14,2,FALSE)))</f>
        <v/>
      </c>
      <c r="F18" s="5"/>
      <c r="G18" s="5"/>
      <c r="H18" s="5"/>
      <c r="I18" s="5"/>
      <c r="J18" s="5"/>
      <c r="K18" s="5"/>
      <c r="L18" s="6" t="str">
        <f t="shared" si="0"/>
        <v/>
      </c>
    </row>
    <row r="19" spans="1:12" ht="57.95" customHeight="1">
      <c r="A19" s="5"/>
      <c r="B19" s="5"/>
      <c r="C19" s="6" t="str">
        <f>IF(B19="","",IF(COUNTIF(Activos!$A$10:$A$29,B19)&lt;&gt;1,"ID activo inválido",IF(COUNTIFS(Activos!$A$10:$A$29,B19,Activos!$B$10:$B$29,"&lt;&gt;")&lt;&gt;1,"Falta nombre",VLOOKUP(B19,Activos!$A$10:$B$29,2,FALSE))))</f>
        <v/>
      </c>
      <c r="D19" s="5"/>
      <c r="E19" s="6" t="str">
        <f>IF(D19="","",IF(COUNTIF('Catálogo amenazas'!$A$5:$A$14,D19)&lt;&gt;1,"ID amenaza inválido",VLOOKUP(D19,'Catálogo amenazas'!$A$5:$B$14,2,FALSE)))</f>
        <v/>
      </c>
      <c r="F19" s="5"/>
      <c r="G19" s="5"/>
      <c r="H19" s="5"/>
      <c r="I19" s="5"/>
      <c r="J19" s="5"/>
      <c r="K19" s="5"/>
      <c r="L19" s="6" t="str">
        <f t="shared" si="0"/>
        <v/>
      </c>
    </row>
    <row r="20" spans="1:12" ht="57.95" customHeight="1">
      <c r="A20" s="5"/>
      <c r="B20" s="5"/>
      <c r="C20" s="6" t="str">
        <f>IF(B20="","",IF(COUNTIF(Activos!$A$10:$A$29,B20)&lt;&gt;1,"ID activo inválido",IF(COUNTIFS(Activos!$A$10:$A$29,B20,Activos!$B$10:$B$29,"&lt;&gt;")&lt;&gt;1,"Falta nombre",VLOOKUP(B20,Activos!$A$10:$B$29,2,FALSE))))</f>
        <v/>
      </c>
      <c r="D20" s="5"/>
      <c r="E20" s="6" t="str">
        <f>IF(D20="","",IF(COUNTIF('Catálogo amenazas'!$A$5:$A$14,D20)&lt;&gt;1,"ID amenaza inválido",VLOOKUP(D20,'Catálogo amenazas'!$A$5:$B$14,2,FALSE)))</f>
        <v/>
      </c>
      <c r="F20" s="5"/>
      <c r="G20" s="5"/>
      <c r="H20" s="5"/>
      <c r="I20" s="5"/>
      <c r="J20" s="5"/>
      <c r="K20" s="5"/>
      <c r="L20" s="6" t="str">
        <f t="shared" si="0"/>
        <v/>
      </c>
    </row>
    <row r="21" spans="1:12" ht="57.95" customHeight="1">
      <c r="A21" s="5"/>
      <c r="B21" s="5"/>
      <c r="C21" s="6" t="str">
        <f>IF(B21="","",IF(COUNTIF(Activos!$A$10:$A$29,B21)&lt;&gt;1,"ID activo inválido",IF(COUNTIFS(Activos!$A$10:$A$29,B21,Activos!$B$10:$B$29,"&lt;&gt;")&lt;&gt;1,"Falta nombre",VLOOKUP(B21,Activos!$A$10:$B$29,2,FALSE))))</f>
        <v/>
      </c>
      <c r="D21" s="5"/>
      <c r="E21" s="6" t="str">
        <f>IF(D21="","",IF(COUNTIF('Catálogo amenazas'!$A$5:$A$14,D21)&lt;&gt;1,"ID amenaza inválido",VLOOKUP(D21,'Catálogo amenazas'!$A$5:$B$14,2,FALSE)))</f>
        <v/>
      </c>
      <c r="F21" s="5"/>
      <c r="G21" s="5"/>
      <c r="H21" s="5"/>
      <c r="I21" s="5"/>
      <c r="J21" s="5"/>
      <c r="K21" s="5"/>
      <c r="L21" s="6" t="str">
        <f t="shared" si="0"/>
        <v/>
      </c>
    </row>
    <row r="22" spans="1:12" ht="57.95" customHeight="1">
      <c r="A22" s="5"/>
      <c r="B22" s="5"/>
      <c r="C22" s="6" t="str">
        <f>IF(B22="","",IF(COUNTIF(Activos!$A$10:$A$29,B22)&lt;&gt;1,"ID activo inválido",IF(COUNTIFS(Activos!$A$10:$A$29,B22,Activos!$B$10:$B$29,"&lt;&gt;")&lt;&gt;1,"Falta nombre",VLOOKUP(B22,Activos!$A$10:$B$29,2,FALSE))))</f>
        <v/>
      </c>
      <c r="D22" s="5"/>
      <c r="E22" s="6" t="str">
        <f>IF(D22="","",IF(COUNTIF('Catálogo amenazas'!$A$5:$A$14,D22)&lt;&gt;1,"ID amenaza inválido",VLOOKUP(D22,'Catálogo amenazas'!$A$5:$B$14,2,FALSE)))</f>
        <v/>
      </c>
      <c r="F22" s="5"/>
      <c r="G22" s="5"/>
      <c r="H22" s="5"/>
      <c r="I22" s="5"/>
      <c r="J22" s="5"/>
      <c r="K22" s="5"/>
      <c r="L22" s="6" t="str">
        <f t="shared" si="0"/>
        <v/>
      </c>
    </row>
    <row r="23" spans="1:12" ht="57.95" customHeight="1">
      <c r="A23" s="5"/>
      <c r="B23" s="5"/>
      <c r="C23" s="6" t="str">
        <f>IF(B23="","",IF(COUNTIF(Activos!$A$10:$A$29,B23)&lt;&gt;1,"ID activo inválido",IF(COUNTIFS(Activos!$A$10:$A$29,B23,Activos!$B$10:$B$29,"&lt;&gt;")&lt;&gt;1,"Falta nombre",VLOOKUP(B23,Activos!$A$10:$B$29,2,FALSE))))</f>
        <v/>
      </c>
      <c r="D23" s="5"/>
      <c r="E23" s="6" t="str">
        <f>IF(D23="","",IF(COUNTIF('Catálogo amenazas'!$A$5:$A$14,D23)&lt;&gt;1,"ID amenaza inválido",VLOOKUP(D23,'Catálogo amenazas'!$A$5:$B$14,2,FALSE)))</f>
        <v/>
      </c>
      <c r="F23" s="5"/>
      <c r="G23" s="5"/>
      <c r="H23" s="5"/>
      <c r="I23" s="5"/>
      <c r="J23" s="5"/>
      <c r="K23" s="5"/>
      <c r="L23" s="6" t="str">
        <f t="shared" si="0"/>
        <v/>
      </c>
    </row>
    <row r="24" spans="1:12" ht="57.95" customHeight="1">
      <c r="A24" s="5"/>
      <c r="B24" s="5"/>
      <c r="C24" s="6" t="str">
        <f>IF(B24="","",IF(COUNTIF(Activos!$A$10:$A$29,B24)&lt;&gt;1,"ID activo inválido",IF(COUNTIFS(Activos!$A$10:$A$29,B24,Activos!$B$10:$B$29,"&lt;&gt;")&lt;&gt;1,"Falta nombre",VLOOKUP(B24,Activos!$A$10:$B$29,2,FALSE))))</f>
        <v/>
      </c>
      <c r="D24" s="5"/>
      <c r="E24" s="6" t="str">
        <f>IF(D24="","",IF(COUNTIF('Catálogo amenazas'!$A$5:$A$14,D24)&lt;&gt;1,"ID amenaza inválido",VLOOKUP(D24,'Catálogo amenazas'!$A$5:$B$14,2,FALSE)))</f>
        <v/>
      </c>
      <c r="F24" s="5"/>
      <c r="G24" s="5"/>
      <c r="H24" s="5"/>
      <c r="I24" s="5"/>
      <c r="J24" s="5"/>
      <c r="K24" s="5"/>
      <c r="L24" s="6" t="str">
        <f t="shared" si="0"/>
        <v/>
      </c>
    </row>
    <row r="25" spans="1:12" ht="57.95" customHeight="1">
      <c r="A25" s="5"/>
      <c r="B25" s="5"/>
      <c r="C25" s="6" t="str">
        <f>IF(B25="","",IF(COUNTIF(Activos!$A$10:$A$29,B25)&lt;&gt;1,"ID activo inválido",IF(COUNTIFS(Activos!$A$10:$A$29,B25,Activos!$B$10:$B$29,"&lt;&gt;")&lt;&gt;1,"Falta nombre",VLOOKUP(B25,Activos!$A$10:$B$29,2,FALSE))))</f>
        <v/>
      </c>
      <c r="D25" s="5"/>
      <c r="E25" s="6" t="str">
        <f>IF(D25="","",IF(COUNTIF('Catálogo amenazas'!$A$5:$A$14,D25)&lt;&gt;1,"ID amenaza inválido",VLOOKUP(D25,'Catálogo amenazas'!$A$5:$B$14,2,FALSE)))</f>
        <v/>
      </c>
      <c r="F25" s="5"/>
      <c r="G25" s="5"/>
      <c r="H25" s="5"/>
      <c r="I25" s="5"/>
      <c r="J25" s="5"/>
      <c r="K25" s="5"/>
      <c r="L25" s="6" t="str">
        <f t="shared" si="0"/>
        <v/>
      </c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dataValidations count="4">
    <dataValidation type="list" sqref="B6:B25" xr:uid="{00000000-0002-0000-0500-000000000000}">
      <formula1>"A1,A2,A3,A4,A5,A6,A7,A8,A9,A10,A11,A12,A13,A14,A15,A16,A17,A18,A19,A20"</formula1>
    </dataValidation>
    <dataValidation type="list" sqref="D6:D25" xr:uid="{00000000-0002-0000-0500-000001000000}">
      <formula1>"T1,T2,T3,T4,T5,T6,T7,T8,T9,T10"</formula1>
    </dataValidation>
    <dataValidation type="list" sqref="G6:G25" xr:uid="{00000000-0002-0000-0500-000002000000}">
      <formula1>"C,I,D,A,C I,C D,I D,C I D,C I D A"</formula1>
    </dataValidation>
    <dataValidation type="whole" sqref="I6:J25" xr:uid="{00000000-0002-0000-0500-000003000000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F5C"/>
  </sheetPr>
  <dimension ref="A1:N65"/>
  <sheetViews>
    <sheetView showGridLines="0" tabSelected="1" workbookViewId="0">
      <pane ySplit="5" topLeftCell="A47" activePane="bottomLeft" state="frozen"/>
      <selection pane="bottomLeft" activeCell="A30" sqref="A30"/>
    </sheetView>
  </sheetViews>
  <sheetFormatPr baseColWidth="10" defaultColWidth="9" defaultRowHeight="14.25"/>
  <cols>
    <col min="1" max="1" width="10" customWidth="1"/>
    <col min="2" max="2" width="29" customWidth="1"/>
    <col min="3" max="3" width="28" customWidth="1"/>
    <col min="4" max="5" width="12" customWidth="1"/>
    <col min="6" max="6" width="13" customWidth="1"/>
    <col min="7" max="7" width="19" customWidth="1"/>
    <col min="8" max="8" width="21" customWidth="1"/>
    <col min="9" max="9" width="39" customWidth="1"/>
    <col min="10" max="10" width="21" customWidth="1"/>
    <col min="11" max="11" width="25" customWidth="1"/>
    <col min="12" max="12" width="30" customWidth="1"/>
    <col min="13" max="14" width="34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>
      <c r="A2" s="2" t="s">
        <v>232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3.950000000000003" customHeight="1">
      <c r="A5" s="4" t="s">
        <v>31</v>
      </c>
      <c r="B5" s="4" t="s">
        <v>32</v>
      </c>
      <c r="C5" s="4" t="s">
        <v>137</v>
      </c>
      <c r="D5" s="4" t="s">
        <v>34</v>
      </c>
      <c r="E5" s="4" t="s">
        <v>35</v>
      </c>
      <c r="F5" s="4" t="s">
        <v>36</v>
      </c>
      <c r="G5" s="4" t="s">
        <v>80</v>
      </c>
      <c r="H5" s="4" t="s">
        <v>234</v>
      </c>
      <c r="I5" s="4" t="s">
        <v>235</v>
      </c>
      <c r="J5" s="1"/>
      <c r="K5" s="1"/>
      <c r="L5" s="1"/>
      <c r="M5" s="1"/>
      <c r="N5" s="1"/>
    </row>
    <row r="6" spans="1:14" ht="38.1" customHeight="1">
      <c r="A6" s="6" t="str">
        <f>IF('Cruces Activo-Amenaza'!A6="","",'Cruces Activo-Amenaza'!A6)</f>
        <v/>
      </c>
      <c r="B6" s="6" t="str">
        <f>IF('Cruces Activo-Amenaza'!C6="","",'Cruces Activo-Amenaza'!C6)</f>
        <v/>
      </c>
      <c r="C6" s="6" t="str">
        <f>IF('Cruces Activo-Amenaza'!E6="","",'Cruces Activo-Amenaza'!E6)</f>
        <v/>
      </c>
      <c r="D6" s="6" t="str">
        <f>IF('Cruces Activo-Amenaza'!L6="Listo",'Cruces Activo-Amenaza'!I6,"")</f>
        <v/>
      </c>
      <c r="E6" s="6" t="str">
        <f>IF('Cruces Activo-Amenaza'!L6="Listo",'Cruces Activo-Amenaza'!J6,"")</f>
        <v/>
      </c>
      <c r="F6" s="6" t="str">
        <f t="shared" ref="F6:F25" si="0">IF(I6="Listo",D6*E6,"")</f>
        <v/>
      </c>
      <c r="G6" s="6" t="str">
        <f>IF(F6="","",IF(F6&lt;'Tablas AR'!$A$17,"Bajo",IF(F6&lt;'Tablas AR'!$A$18,"Moderado",IF(F6&lt;'Tablas AR'!$A$19,"Alto","Crítico"))))</f>
        <v/>
      </c>
      <c r="H6" s="6" t="str">
        <f>IF(F6="","",IF(F6&gt;='Tablas AR'!$A$19,"Urgente",IF(F6&gt;='Tablas AR'!$A$18,"Prioritaria",IF(F6&gt;='Tablas AR'!$A$17,"Programar","Evaluar aceptación"))))</f>
        <v/>
      </c>
      <c r="I6" s="6" t="str">
        <f>IF('Cruces Activo-Amenaza'!L6="","",'Cruces Activo-Amenaza'!L6)</f>
        <v/>
      </c>
      <c r="J6" s="1"/>
      <c r="K6" s="1"/>
      <c r="L6" s="1"/>
      <c r="M6" s="1"/>
      <c r="N6" s="1"/>
    </row>
    <row r="7" spans="1:14" ht="38.1" customHeight="1">
      <c r="A7" s="6" t="str">
        <f>IF('Cruces Activo-Amenaza'!A7="","",'Cruces Activo-Amenaza'!A7)</f>
        <v/>
      </c>
      <c r="B7" s="6" t="str">
        <f>IF('Cruces Activo-Amenaza'!C7="","",'Cruces Activo-Amenaza'!C7)</f>
        <v/>
      </c>
      <c r="C7" s="6" t="str">
        <f>IF('Cruces Activo-Amenaza'!E7="","",'Cruces Activo-Amenaza'!E7)</f>
        <v/>
      </c>
      <c r="D7" s="6" t="str">
        <f>IF('Cruces Activo-Amenaza'!L7="Listo",'Cruces Activo-Amenaza'!I7,"")</f>
        <v/>
      </c>
      <c r="E7" s="6" t="str">
        <f>IF('Cruces Activo-Amenaza'!L7="Listo",'Cruces Activo-Amenaza'!J7,"")</f>
        <v/>
      </c>
      <c r="F7" s="6" t="str">
        <f t="shared" si="0"/>
        <v/>
      </c>
      <c r="G7" s="6" t="str">
        <f>IF(F7="","",IF(F7&lt;'Tablas AR'!$A$17,"Bajo",IF(F7&lt;'Tablas AR'!$A$18,"Moderado",IF(F7&lt;'Tablas AR'!$A$19,"Alto","Crítico"))))</f>
        <v/>
      </c>
      <c r="H7" s="6" t="str">
        <f>IF(F7="","",IF(F7&gt;='Tablas AR'!$A$19,"Urgente",IF(F7&gt;='Tablas AR'!$A$18,"Prioritaria",IF(F7&gt;='Tablas AR'!$A$17,"Programar","Evaluar aceptación"))))</f>
        <v/>
      </c>
      <c r="I7" s="6" t="str">
        <f>IF('Cruces Activo-Amenaza'!L7="","",'Cruces Activo-Amenaza'!L7)</f>
        <v/>
      </c>
      <c r="J7" s="1"/>
      <c r="K7" s="1"/>
      <c r="L7" s="1"/>
      <c r="M7" s="1"/>
      <c r="N7" s="1"/>
    </row>
    <row r="8" spans="1:14" ht="38.1" customHeight="1">
      <c r="A8" s="6" t="str">
        <f>IF('Cruces Activo-Amenaza'!A8="","",'Cruces Activo-Amenaza'!A8)</f>
        <v/>
      </c>
      <c r="B8" s="6" t="str">
        <f>IF('Cruces Activo-Amenaza'!C8="","",'Cruces Activo-Amenaza'!C8)</f>
        <v/>
      </c>
      <c r="C8" s="6" t="str">
        <f>IF('Cruces Activo-Amenaza'!E8="","",'Cruces Activo-Amenaza'!E8)</f>
        <v/>
      </c>
      <c r="D8" s="6" t="str">
        <f>IF('Cruces Activo-Amenaza'!L8="Listo",'Cruces Activo-Amenaza'!I8,"")</f>
        <v/>
      </c>
      <c r="E8" s="6" t="str">
        <f>IF('Cruces Activo-Amenaza'!L8="Listo",'Cruces Activo-Amenaza'!J8,"")</f>
        <v/>
      </c>
      <c r="F8" s="6" t="str">
        <f t="shared" si="0"/>
        <v/>
      </c>
      <c r="G8" s="6" t="str">
        <f>IF(F8="","",IF(F8&lt;'Tablas AR'!$A$17,"Bajo",IF(F8&lt;'Tablas AR'!$A$18,"Moderado",IF(F8&lt;'Tablas AR'!$A$19,"Alto","Crítico"))))</f>
        <v/>
      </c>
      <c r="H8" s="6" t="str">
        <f>IF(F8="","",IF(F8&gt;='Tablas AR'!$A$19,"Urgente",IF(F8&gt;='Tablas AR'!$A$18,"Prioritaria",IF(F8&gt;='Tablas AR'!$A$17,"Programar","Evaluar aceptación"))))</f>
        <v/>
      </c>
      <c r="I8" s="6" t="str">
        <f>IF('Cruces Activo-Amenaza'!L8="","",'Cruces Activo-Amenaza'!L8)</f>
        <v/>
      </c>
      <c r="J8" s="1"/>
      <c r="K8" s="1"/>
      <c r="L8" s="1"/>
      <c r="M8" s="1"/>
      <c r="N8" s="1"/>
    </row>
    <row r="9" spans="1:14" ht="38.1" customHeight="1">
      <c r="A9" s="6" t="str">
        <f>IF('Cruces Activo-Amenaza'!A9="","",'Cruces Activo-Amenaza'!A9)</f>
        <v/>
      </c>
      <c r="B9" s="6" t="str">
        <f>IF('Cruces Activo-Amenaza'!C9="","",'Cruces Activo-Amenaza'!C9)</f>
        <v/>
      </c>
      <c r="C9" s="6" t="str">
        <f>IF('Cruces Activo-Amenaza'!E9="","",'Cruces Activo-Amenaza'!E9)</f>
        <v/>
      </c>
      <c r="D9" s="6" t="str">
        <f>IF('Cruces Activo-Amenaza'!L9="Listo",'Cruces Activo-Amenaza'!I9,"")</f>
        <v/>
      </c>
      <c r="E9" s="6" t="str">
        <f>IF('Cruces Activo-Amenaza'!L9="Listo",'Cruces Activo-Amenaza'!J9,"")</f>
        <v/>
      </c>
      <c r="F9" s="6" t="str">
        <f t="shared" si="0"/>
        <v/>
      </c>
      <c r="G9" s="6" t="str">
        <f>IF(F9="","",IF(F9&lt;'Tablas AR'!$A$17,"Bajo",IF(F9&lt;'Tablas AR'!$A$18,"Moderado",IF(F9&lt;'Tablas AR'!$A$19,"Alto","Crítico"))))</f>
        <v/>
      </c>
      <c r="H9" s="6" t="str">
        <f>IF(F9="","",IF(F9&gt;='Tablas AR'!$A$19,"Urgente",IF(F9&gt;='Tablas AR'!$A$18,"Prioritaria",IF(F9&gt;='Tablas AR'!$A$17,"Programar","Evaluar aceptación"))))</f>
        <v/>
      </c>
      <c r="I9" s="6" t="str">
        <f>IF('Cruces Activo-Amenaza'!L9="","",'Cruces Activo-Amenaza'!L9)</f>
        <v/>
      </c>
      <c r="J9" s="1"/>
      <c r="K9" s="1"/>
      <c r="L9" s="1"/>
      <c r="M9" s="1"/>
      <c r="N9" s="1"/>
    </row>
    <row r="10" spans="1:14" ht="38.1" customHeight="1">
      <c r="A10" s="6" t="str">
        <f>IF('Cruces Activo-Amenaza'!A10="","",'Cruces Activo-Amenaza'!A10)</f>
        <v/>
      </c>
      <c r="B10" s="6" t="str">
        <f>IF('Cruces Activo-Amenaza'!C10="","",'Cruces Activo-Amenaza'!C10)</f>
        <v/>
      </c>
      <c r="C10" s="6" t="str">
        <f>IF('Cruces Activo-Amenaza'!E10="","",'Cruces Activo-Amenaza'!E10)</f>
        <v/>
      </c>
      <c r="D10" s="6" t="str">
        <f>IF('Cruces Activo-Amenaza'!L10="Listo",'Cruces Activo-Amenaza'!I10,"")</f>
        <v/>
      </c>
      <c r="E10" s="6" t="str">
        <f>IF('Cruces Activo-Amenaza'!L10="Listo",'Cruces Activo-Amenaza'!J10,"")</f>
        <v/>
      </c>
      <c r="F10" s="6" t="str">
        <f t="shared" si="0"/>
        <v/>
      </c>
      <c r="G10" s="6" t="str">
        <f>IF(F10="","",IF(F10&lt;'Tablas AR'!$A$17,"Bajo",IF(F10&lt;'Tablas AR'!$A$18,"Moderado",IF(F10&lt;'Tablas AR'!$A$19,"Alto","Crítico"))))</f>
        <v/>
      </c>
      <c r="H10" s="6" t="str">
        <f>IF(F10="","",IF(F10&gt;='Tablas AR'!$A$19,"Urgente",IF(F10&gt;='Tablas AR'!$A$18,"Prioritaria",IF(F10&gt;='Tablas AR'!$A$17,"Programar","Evaluar aceptación"))))</f>
        <v/>
      </c>
      <c r="I10" s="6" t="str">
        <f>IF('Cruces Activo-Amenaza'!L10="","",'Cruces Activo-Amenaza'!L10)</f>
        <v/>
      </c>
      <c r="J10" s="1"/>
      <c r="K10" s="1"/>
      <c r="L10" s="1"/>
      <c r="M10" s="1"/>
      <c r="N10" s="1"/>
    </row>
    <row r="11" spans="1:14" ht="38.1" customHeight="1">
      <c r="A11" s="6" t="str">
        <f>IF('Cruces Activo-Amenaza'!A11="","",'Cruces Activo-Amenaza'!A11)</f>
        <v/>
      </c>
      <c r="B11" s="6" t="str">
        <f>IF('Cruces Activo-Amenaza'!C11="","",'Cruces Activo-Amenaza'!C11)</f>
        <v/>
      </c>
      <c r="C11" s="6" t="str">
        <f>IF('Cruces Activo-Amenaza'!E11="","",'Cruces Activo-Amenaza'!E11)</f>
        <v/>
      </c>
      <c r="D11" s="6" t="str">
        <f>IF('Cruces Activo-Amenaza'!L11="Listo",'Cruces Activo-Amenaza'!I11,"")</f>
        <v/>
      </c>
      <c r="E11" s="6" t="str">
        <f>IF('Cruces Activo-Amenaza'!L11="Listo",'Cruces Activo-Amenaza'!J11,"")</f>
        <v/>
      </c>
      <c r="F11" s="6" t="str">
        <f t="shared" si="0"/>
        <v/>
      </c>
      <c r="G11" s="6" t="str">
        <f>IF(F11="","",IF(F11&lt;'Tablas AR'!$A$17,"Bajo",IF(F11&lt;'Tablas AR'!$A$18,"Moderado",IF(F11&lt;'Tablas AR'!$A$19,"Alto","Crítico"))))</f>
        <v/>
      </c>
      <c r="H11" s="6" t="str">
        <f>IF(F11="","",IF(F11&gt;='Tablas AR'!$A$19,"Urgente",IF(F11&gt;='Tablas AR'!$A$18,"Prioritaria",IF(F11&gt;='Tablas AR'!$A$17,"Programar","Evaluar aceptación"))))</f>
        <v/>
      </c>
      <c r="I11" s="6" t="str">
        <f>IF('Cruces Activo-Amenaza'!L11="","",'Cruces Activo-Amenaza'!L11)</f>
        <v/>
      </c>
      <c r="J11" s="1"/>
      <c r="K11" s="1"/>
      <c r="L11" s="1"/>
      <c r="M11" s="1"/>
      <c r="N11" s="1"/>
    </row>
    <row r="12" spans="1:14" ht="38.1" customHeight="1">
      <c r="A12" s="6" t="str">
        <f>IF('Cruces Activo-Amenaza'!A12="","",'Cruces Activo-Amenaza'!A12)</f>
        <v/>
      </c>
      <c r="B12" s="6" t="str">
        <f>IF('Cruces Activo-Amenaza'!C12="","",'Cruces Activo-Amenaza'!C12)</f>
        <v/>
      </c>
      <c r="C12" s="6" t="str">
        <f>IF('Cruces Activo-Amenaza'!E12="","",'Cruces Activo-Amenaza'!E12)</f>
        <v/>
      </c>
      <c r="D12" s="6" t="str">
        <f>IF('Cruces Activo-Amenaza'!L12="Listo",'Cruces Activo-Amenaza'!I12,"")</f>
        <v/>
      </c>
      <c r="E12" s="6" t="str">
        <f>IF('Cruces Activo-Amenaza'!L12="Listo",'Cruces Activo-Amenaza'!J12,"")</f>
        <v/>
      </c>
      <c r="F12" s="6" t="str">
        <f t="shared" si="0"/>
        <v/>
      </c>
      <c r="G12" s="6" t="str">
        <f>IF(F12="","",IF(F12&lt;'Tablas AR'!$A$17,"Bajo",IF(F12&lt;'Tablas AR'!$A$18,"Moderado",IF(F12&lt;'Tablas AR'!$A$19,"Alto","Crítico"))))</f>
        <v/>
      </c>
      <c r="H12" s="6" t="str">
        <f>IF(F12="","",IF(F12&gt;='Tablas AR'!$A$19,"Urgente",IF(F12&gt;='Tablas AR'!$A$18,"Prioritaria",IF(F12&gt;='Tablas AR'!$A$17,"Programar","Evaluar aceptación"))))</f>
        <v/>
      </c>
      <c r="I12" s="6" t="str">
        <f>IF('Cruces Activo-Amenaza'!L12="","",'Cruces Activo-Amenaza'!L12)</f>
        <v/>
      </c>
      <c r="J12" s="1"/>
      <c r="K12" s="1"/>
      <c r="L12" s="1"/>
      <c r="M12" s="1"/>
      <c r="N12" s="1"/>
    </row>
    <row r="13" spans="1:14" ht="38.1" customHeight="1">
      <c r="A13" s="6" t="str">
        <f>IF('Cruces Activo-Amenaza'!A13="","",'Cruces Activo-Amenaza'!A13)</f>
        <v/>
      </c>
      <c r="B13" s="6" t="str">
        <f>IF('Cruces Activo-Amenaza'!C13="","",'Cruces Activo-Amenaza'!C13)</f>
        <v/>
      </c>
      <c r="C13" s="6" t="str">
        <f>IF('Cruces Activo-Amenaza'!E13="","",'Cruces Activo-Amenaza'!E13)</f>
        <v/>
      </c>
      <c r="D13" s="6" t="str">
        <f>IF('Cruces Activo-Amenaza'!L13="Listo",'Cruces Activo-Amenaza'!I13,"")</f>
        <v/>
      </c>
      <c r="E13" s="6" t="str">
        <f>IF('Cruces Activo-Amenaza'!L13="Listo",'Cruces Activo-Amenaza'!J13,"")</f>
        <v/>
      </c>
      <c r="F13" s="6" t="str">
        <f t="shared" si="0"/>
        <v/>
      </c>
      <c r="G13" s="6" t="str">
        <f>IF(F13="","",IF(F13&lt;'Tablas AR'!$A$17,"Bajo",IF(F13&lt;'Tablas AR'!$A$18,"Moderado",IF(F13&lt;'Tablas AR'!$A$19,"Alto","Crítico"))))</f>
        <v/>
      </c>
      <c r="H13" s="6" t="str">
        <f>IF(F13="","",IF(F13&gt;='Tablas AR'!$A$19,"Urgente",IF(F13&gt;='Tablas AR'!$A$18,"Prioritaria",IF(F13&gt;='Tablas AR'!$A$17,"Programar","Evaluar aceptación"))))</f>
        <v/>
      </c>
      <c r="I13" s="6" t="str">
        <f>IF('Cruces Activo-Amenaza'!L13="","",'Cruces Activo-Amenaza'!L13)</f>
        <v/>
      </c>
      <c r="J13" s="1"/>
      <c r="K13" s="1"/>
      <c r="L13" s="1"/>
      <c r="M13" s="1"/>
      <c r="N13" s="1"/>
    </row>
    <row r="14" spans="1:14" ht="38.1" customHeight="1">
      <c r="A14" s="6" t="str">
        <f>IF('Cruces Activo-Amenaza'!A14="","",'Cruces Activo-Amenaza'!A14)</f>
        <v/>
      </c>
      <c r="B14" s="6" t="str">
        <f>IF('Cruces Activo-Amenaza'!C14="","",'Cruces Activo-Amenaza'!C14)</f>
        <v/>
      </c>
      <c r="C14" s="6" t="str">
        <f>IF('Cruces Activo-Amenaza'!E14="","",'Cruces Activo-Amenaza'!E14)</f>
        <v/>
      </c>
      <c r="D14" s="6" t="str">
        <f>IF('Cruces Activo-Amenaza'!L14="Listo",'Cruces Activo-Amenaza'!I14,"")</f>
        <v/>
      </c>
      <c r="E14" s="6" t="str">
        <f>IF('Cruces Activo-Amenaza'!L14="Listo",'Cruces Activo-Amenaza'!J14,"")</f>
        <v/>
      </c>
      <c r="F14" s="6" t="str">
        <f t="shared" si="0"/>
        <v/>
      </c>
      <c r="G14" s="6" t="str">
        <f>IF(F14="","",IF(F14&lt;'Tablas AR'!$A$17,"Bajo",IF(F14&lt;'Tablas AR'!$A$18,"Moderado",IF(F14&lt;'Tablas AR'!$A$19,"Alto","Crítico"))))</f>
        <v/>
      </c>
      <c r="H14" s="6" t="str">
        <f>IF(F14="","",IF(F14&gt;='Tablas AR'!$A$19,"Urgente",IF(F14&gt;='Tablas AR'!$A$18,"Prioritaria",IF(F14&gt;='Tablas AR'!$A$17,"Programar","Evaluar aceptación"))))</f>
        <v/>
      </c>
      <c r="I14" s="6" t="str">
        <f>IF('Cruces Activo-Amenaza'!L14="","",'Cruces Activo-Amenaza'!L14)</f>
        <v/>
      </c>
      <c r="J14" s="1"/>
      <c r="K14" s="1"/>
      <c r="L14" s="1"/>
      <c r="M14" s="1"/>
      <c r="N14" s="1"/>
    </row>
    <row r="15" spans="1:14" ht="38.1" customHeight="1">
      <c r="A15" s="6" t="str">
        <f>IF('Cruces Activo-Amenaza'!A15="","",'Cruces Activo-Amenaza'!A15)</f>
        <v/>
      </c>
      <c r="B15" s="6" t="str">
        <f>IF('Cruces Activo-Amenaza'!C15="","",'Cruces Activo-Amenaza'!C15)</f>
        <v/>
      </c>
      <c r="C15" s="6" t="str">
        <f>IF('Cruces Activo-Amenaza'!E15="","",'Cruces Activo-Amenaza'!E15)</f>
        <v/>
      </c>
      <c r="D15" s="6" t="str">
        <f>IF('Cruces Activo-Amenaza'!L15="Listo",'Cruces Activo-Amenaza'!I15,"")</f>
        <v/>
      </c>
      <c r="E15" s="6" t="str">
        <f>IF('Cruces Activo-Amenaza'!L15="Listo",'Cruces Activo-Amenaza'!J15,"")</f>
        <v/>
      </c>
      <c r="F15" s="6" t="str">
        <f t="shared" si="0"/>
        <v/>
      </c>
      <c r="G15" s="6" t="str">
        <f>IF(F15="","",IF(F15&lt;'Tablas AR'!$A$17,"Bajo",IF(F15&lt;'Tablas AR'!$A$18,"Moderado",IF(F15&lt;'Tablas AR'!$A$19,"Alto","Crítico"))))</f>
        <v/>
      </c>
      <c r="H15" s="6" t="str">
        <f>IF(F15="","",IF(F15&gt;='Tablas AR'!$A$19,"Urgente",IF(F15&gt;='Tablas AR'!$A$18,"Prioritaria",IF(F15&gt;='Tablas AR'!$A$17,"Programar","Evaluar aceptación"))))</f>
        <v/>
      </c>
      <c r="I15" s="6" t="str">
        <f>IF('Cruces Activo-Amenaza'!L15="","",'Cruces Activo-Amenaza'!L15)</f>
        <v/>
      </c>
      <c r="J15" s="1"/>
      <c r="K15" s="1"/>
      <c r="L15" s="1"/>
      <c r="M15" s="1"/>
      <c r="N15" s="1"/>
    </row>
    <row r="16" spans="1:14" ht="38.1" customHeight="1">
      <c r="A16" s="6" t="str">
        <f>IF('Cruces Activo-Amenaza'!A16="","",'Cruces Activo-Amenaza'!A16)</f>
        <v/>
      </c>
      <c r="B16" s="6" t="str">
        <f>IF('Cruces Activo-Amenaza'!C16="","",'Cruces Activo-Amenaza'!C16)</f>
        <v/>
      </c>
      <c r="C16" s="6" t="str">
        <f>IF('Cruces Activo-Amenaza'!E16="","",'Cruces Activo-Amenaza'!E16)</f>
        <v/>
      </c>
      <c r="D16" s="6" t="str">
        <f>IF('Cruces Activo-Amenaza'!L16="Listo",'Cruces Activo-Amenaza'!I16,"")</f>
        <v/>
      </c>
      <c r="E16" s="6" t="str">
        <f>IF('Cruces Activo-Amenaza'!L16="Listo",'Cruces Activo-Amenaza'!J16,"")</f>
        <v/>
      </c>
      <c r="F16" s="6" t="str">
        <f t="shared" si="0"/>
        <v/>
      </c>
      <c r="G16" s="6" t="str">
        <f>IF(F16="","",IF(F16&lt;'Tablas AR'!$A$17,"Bajo",IF(F16&lt;'Tablas AR'!$A$18,"Moderado",IF(F16&lt;'Tablas AR'!$A$19,"Alto","Crítico"))))</f>
        <v/>
      </c>
      <c r="H16" s="6" t="str">
        <f>IF(F16="","",IF(F16&gt;='Tablas AR'!$A$19,"Urgente",IF(F16&gt;='Tablas AR'!$A$18,"Prioritaria",IF(F16&gt;='Tablas AR'!$A$17,"Programar","Evaluar aceptación"))))</f>
        <v/>
      </c>
      <c r="I16" s="6" t="str">
        <f>IF('Cruces Activo-Amenaza'!L16="","",'Cruces Activo-Amenaza'!L16)</f>
        <v/>
      </c>
      <c r="J16" s="1"/>
      <c r="K16" s="1"/>
      <c r="L16" s="1"/>
      <c r="M16" s="1"/>
      <c r="N16" s="1"/>
    </row>
    <row r="17" spans="1:14" ht="38.1" customHeight="1">
      <c r="A17" s="6" t="str">
        <f>IF('Cruces Activo-Amenaza'!A17="","",'Cruces Activo-Amenaza'!A17)</f>
        <v/>
      </c>
      <c r="B17" s="6" t="str">
        <f>IF('Cruces Activo-Amenaza'!C17="","",'Cruces Activo-Amenaza'!C17)</f>
        <v/>
      </c>
      <c r="C17" s="6" t="str">
        <f>IF('Cruces Activo-Amenaza'!E17="","",'Cruces Activo-Amenaza'!E17)</f>
        <v/>
      </c>
      <c r="D17" s="6" t="str">
        <f>IF('Cruces Activo-Amenaza'!L17="Listo",'Cruces Activo-Amenaza'!I17,"")</f>
        <v/>
      </c>
      <c r="E17" s="6" t="str">
        <f>IF('Cruces Activo-Amenaza'!L17="Listo",'Cruces Activo-Amenaza'!J17,"")</f>
        <v/>
      </c>
      <c r="F17" s="6" t="str">
        <f t="shared" si="0"/>
        <v/>
      </c>
      <c r="G17" s="6" t="str">
        <f>IF(F17="","",IF(F17&lt;'Tablas AR'!$A$17,"Bajo",IF(F17&lt;'Tablas AR'!$A$18,"Moderado",IF(F17&lt;'Tablas AR'!$A$19,"Alto","Crítico"))))</f>
        <v/>
      </c>
      <c r="H17" s="6" t="str">
        <f>IF(F17="","",IF(F17&gt;='Tablas AR'!$A$19,"Urgente",IF(F17&gt;='Tablas AR'!$A$18,"Prioritaria",IF(F17&gt;='Tablas AR'!$A$17,"Programar","Evaluar aceptación"))))</f>
        <v/>
      </c>
      <c r="I17" s="6" t="str">
        <f>IF('Cruces Activo-Amenaza'!L17="","",'Cruces Activo-Amenaza'!L17)</f>
        <v/>
      </c>
      <c r="J17" s="1"/>
      <c r="K17" s="1"/>
      <c r="L17" s="1"/>
      <c r="M17" s="1"/>
      <c r="N17" s="1"/>
    </row>
    <row r="18" spans="1:14" ht="38.1" customHeight="1">
      <c r="A18" s="6" t="str">
        <f>IF('Cruces Activo-Amenaza'!A18="","",'Cruces Activo-Amenaza'!A18)</f>
        <v/>
      </c>
      <c r="B18" s="6" t="str">
        <f>IF('Cruces Activo-Amenaza'!C18="","",'Cruces Activo-Amenaza'!C18)</f>
        <v/>
      </c>
      <c r="C18" s="6" t="str">
        <f>IF('Cruces Activo-Amenaza'!E18="","",'Cruces Activo-Amenaza'!E18)</f>
        <v/>
      </c>
      <c r="D18" s="6" t="str">
        <f>IF('Cruces Activo-Amenaza'!L18="Listo",'Cruces Activo-Amenaza'!I18,"")</f>
        <v/>
      </c>
      <c r="E18" s="6" t="str">
        <f>IF('Cruces Activo-Amenaza'!L18="Listo",'Cruces Activo-Amenaza'!J18,"")</f>
        <v/>
      </c>
      <c r="F18" s="6" t="str">
        <f t="shared" si="0"/>
        <v/>
      </c>
      <c r="G18" s="6" t="str">
        <f>IF(F18="","",IF(F18&lt;'Tablas AR'!$A$17,"Bajo",IF(F18&lt;'Tablas AR'!$A$18,"Moderado",IF(F18&lt;'Tablas AR'!$A$19,"Alto","Crítico"))))</f>
        <v/>
      </c>
      <c r="H18" s="6" t="str">
        <f>IF(F18="","",IF(F18&gt;='Tablas AR'!$A$19,"Urgente",IF(F18&gt;='Tablas AR'!$A$18,"Prioritaria",IF(F18&gt;='Tablas AR'!$A$17,"Programar","Evaluar aceptación"))))</f>
        <v/>
      </c>
      <c r="I18" s="6" t="str">
        <f>IF('Cruces Activo-Amenaza'!L18="","",'Cruces Activo-Amenaza'!L18)</f>
        <v/>
      </c>
      <c r="J18" s="1"/>
      <c r="K18" s="1"/>
      <c r="L18" s="1"/>
      <c r="M18" s="1"/>
      <c r="N18" s="1"/>
    </row>
    <row r="19" spans="1:14" ht="38.1" customHeight="1">
      <c r="A19" s="6" t="str">
        <f>IF('Cruces Activo-Amenaza'!A19="","",'Cruces Activo-Amenaza'!A19)</f>
        <v/>
      </c>
      <c r="B19" s="6" t="str">
        <f>IF('Cruces Activo-Amenaza'!C19="","",'Cruces Activo-Amenaza'!C19)</f>
        <v/>
      </c>
      <c r="C19" s="6" t="str">
        <f>IF('Cruces Activo-Amenaza'!E19="","",'Cruces Activo-Amenaza'!E19)</f>
        <v/>
      </c>
      <c r="D19" s="6" t="str">
        <f>IF('Cruces Activo-Amenaza'!L19="Listo",'Cruces Activo-Amenaza'!I19,"")</f>
        <v/>
      </c>
      <c r="E19" s="6" t="str">
        <f>IF('Cruces Activo-Amenaza'!L19="Listo",'Cruces Activo-Amenaza'!J19,"")</f>
        <v/>
      </c>
      <c r="F19" s="6" t="str">
        <f t="shared" si="0"/>
        <v/>
      </c>
      <c r="G19" s="6" t="str">
        <f>IF(F19="","",IF(F19&lt;'Tablas AR'!$A$17,"Bajo",IF(F19&lt;'Tablas AR'!$A$18,"Moderado",IF(F19&lt;'Tablas AR'!$A$19,"Alto","Crítico"))))</f>
        <v/>
      </c>
      <c r="H19" s="6" t="str">
        <f>IF(F19="","",IF(F19&gt;='Tablas AR'!$A$19,"Urgente",IF(F19&gt;='Tablas AR'!$A$18,"Prioritaria",IF(F19&gt;='Tablas AR'!$A$17,"Programar","Evaluar aceptación"))))</f>
        <v/>
      </c>
      <c r="I19" s="6" t="str">
        <f>IF('Cruces Activo-Amenaza'!L19="","",'Cruces Activo-Amenaza'!L19)</f>
        <v/>
      </c>
      <c r="J19" s="1"/>
      <c r="K19" s="1"/>
      <c r="L19" s="1"/>
      <c r="M19" s="1"/>
      <c r="N19" s="1"/>
    </row>
    <row r="20" spans="1:14" ht="38.1" customHeight="1">
      <c r="A20" s="6" t="str">
        <f>IF('Cruces Activo-Amenaza'!A20="","",'Cruces Activo-Amenaza'!A20)</f>
        <v/>
      </c>
      <c r="B20" s="6" t="str">
        <f>IF('Cruces Activo-Amenaza'!C20="","",'Cruces Activo-Amenaza'!C20)</f>
        <v/>
      </c>
      <c r="C20" s="6" t="str">
        <f>IF('Cruces Activo-Amenaza'!E20="","",'Cruces Activo-Amenaza'!E20)</f>
        <v/>
      </c>
      <c r="D20" s="6" t="str">
        <f>IF('Cruces Activo-Amenaza'!L20="Listo",'Cruces Activo-Amenaza'!I20,"")</f>
        <v/>
      </c>
      <c r="E20" s="6" t="str">
        <f>IF('Cruces Activo-Amenaza'!L20="Listo",'Cruces Activo-Amenaza'!J20,"")</f>
        <v/>
      </c>
      <c r="F20" s="6" t="str">
        <f t="shared" si="0"/>
        <v/>
      </c>
      <c r="G20" s="6" t="str">
        <f>IF(F20="","",IF(F20&lt;'Tablas AR'!$A$17,"Bajo",IF(F20&lt;'Tablas AR'!$A$18,"Moderado",IF(F20&lt;'Tablas AR'!$A$19,"Alto","Crítico"))))</f>
        <v/>
      </c>
      <c r="H20" s="6" t="str">
        <f>IF(F20="","",IF(F20&gt;='Tablas AR'!$A$19,"Urgente",IF(F20&gt;='Tablas AR'!$A$18,"Prioritaria",IF(F20&gt;='Tablas AR'!$A$17,"Programar","Evaluar aceptación"))))</f>
        <v/>
      </c>
      <c r="I20" s="6" t="str">
        <f>IF('Cruces Activo-Amenaza'!L20="","",'Cruces Activo-Amenaza'!L20)</f>
        <v/>
      </c>
      <c r="J20" s="1"/>
      <c r="K20" s="1"/>
      <c r="L20" s="1"/>
      <c r="M20" s="1"/>
      <c r="N20" s="1"/>
    </row>
    <row r="21" spans="1:14" ht="38.1" customHeight="1">
      <c r="A21" s="6" t="str">
        <f>IF('Cruces Activo-Amenaza'!A21="","",'Cruces Activo-Amenaza'!A21)</f>
        <v/>
      </c>
      <c r="B21" s="6" t="str">
        <f>IF('Cruces Activo-Amenaza'!C21="","",'Cruces Activo-Amenaza'!C21)</f>
        <v/>
      </c>
      <c r="C21" s="6" t="str">
        <f>IF('Cruces Activo-Amenaza'!E21="","",'Cruces Activo-Amenaza'!E21)</f>
        <v/>
      </c>
      <c r="D21" s="6" t="str">
        <f>IF('Cruces Activo-Amenaza'!L21="Listo",'Cruces Activo-Amenaza'!I21,"")</f>
        <v/>
      </c>
      <c r="E21" s="6" t="str">
        <f>IF('Cruces Activo-Amenaza'!L21="Listo",'Cruces Activo-Amenaza'!J21,"")</f>
        <v/>
      </c>
      <c r="F21" s="6" t="str">
        <f t="shared" si="0"/>
        <v/>
      </c>
      <c r="G21" s="6" t="str">
        <f>IF(F21="","",IF(F21&lt;'Tablas AR'!$A$17,"Bajo",IF(F21&lt;'Tablas AR'!$A$18,"Moderado",IF(F21&lt;'Tablas AR'!$A$19,"Alto","Crítico"))))</f>
        <v/>
      </c>
      <c r="H21" s="6" t="str">
        <f>IF(F21="","",IF(F21&gt;='Tablas AR'!$A$19,"Urgente",IF(F21&gt;='Tablas AR'!$A$18,"Prioritaria",IF(F21&gt;='Tablas AR'!$A$17,"Programar","Evaluar aceptación"))))</f>
        <v/>
      </c>
      <c r="I21" s="6" t="str">
        <f>IF('Cruces Activo-Amenaza'!L21="","",'Cruces Activo-Amenaza'!L21)</f>
        <v/>
      </c>
      <c r="J21" s="1"/>
      <c r="K21" s="1"/>
      <c r="L21" s="1"/>
      <c r="M21" s="1"/>
      <c r="N21" s="1"/>
    </row>
    <row r="22" spans="1:14" ht="38.1" customHeight="1">
      <c r="A22" s="6" t="str">
        <f>IF('Cruces Activo-Amenaza'!A22="","",'Cruces Activo-Amenaza'!A22)</f>
        <v/>
      </c>
      <c r="B22" s="6" t="str">
        <f>IF('Cruces Activo-Amenaza'!C22="","",'Cruces Activo-Amenaza'!C22)</f>
        <v/>
      </c>
      <c r="C22" s="6" t="str">
        <f>IF('Cruces Activo-Amenaza'!E22="","",'Cruces Activo-Amenaza'!E22)</f>
        <v/>
      </c>
      <c r="D22" s="6" t="str">
        <f>IF('Cruces Activo-Amenaza'!L22="Listo",'Cruces Activo-Amenaza'!I22,"")</f>
        <v/>
      </c>
      <c r="E22" s="6" t="str">
        <f>IF('Cruces Activo-Amenaza'!L22="Listo",'Cruces Activo-Amenaza'!J22,"")</f>
        <v/>
      </c>
      <c r="F22" s="6" t="str">
        <f t="shared" si="0"/>
        <v/>
      </c>
      <c r="G22" s="6" t="str">
        <f>IF(F22="","",IF(F22&lt;'Tablas AR'!$A$17,"Bajo",IF(F22&lt;'Tablas AR'!$A$18,"Moderado",IF(F22&lt;'Tablas AR'!$A$19,"Alto","Crítico"))))</f>
        <v/>
      </c>
      <c r="H22" s="6" t="str">
        <f>IF(F22="","",IF(F22&gt;='Tablas AR'!$A$19,"Urgente",IF(F22&gt;='Tablas AR'!$A$18,"Prioritaria",IF(F22&gt;='Tablas AR'!$A$17,"Programar","Evaluar aceptación"))))</f>
        <v/>
      </c>
      <c r="I22" s="6" t="str">
        <f>IF('Cruces Activo-Amenaza'!L22="","",'Cruces Activo-Amenaza'!L22)</f>
        <v/>
      </c>
      <c r="J22" s="1"/>
      <c r="K22" s="1"/>
      <c r="L22" s="1"/>
      <c r="M22" s="1"/>
      <c r="N22" s="1"/>
    </row>
    <row r="23" spans="1:14" ht="38.1" customHeight="1">
      <c r="A23" s="6" t="str">
        <f>IF('Cruces Activo-Amenaza'!A23="","",'Cruces Activo-Amenaza'!A23)</f>
        <v/>
      </c>
      <c r="B23" s="6" t="str">
        <f>IF('Cruces Activo-Amenaza'!C23="","",'Cruces Activo-Amenaza'!C23)</f>
        <v/>
      </c>
      <c r="C23" s="6" t="str">
        <f>IF('Cruces Activo-Amenaza'!E23="","",'Cruces Activo-Amenaza'!E23)</f>
        <v/>
      </c>
      <c r="D23" s="6" t="str">
        <f>IF('Cruces Activo-Amenaza'!L23="Listo",'Cruces Activo-Amenaza'!I23,"")</f>
        <v/>
      </c>
      <c r="E23" s="6" t="str">
        <f>IF('Cruces Activo-Amenaza'!L23="Listo",'Cruces Activo-Amenaza'!J23,"")</f>
        <v/>
      </c>
      <c r="F23" s="6" t="str">
        <f t="shared" si="0"/>
        <v/>
      </c>
      <c r="G23" s="6" t="str">
        <f>IF(F23="","",IF(F23&lt;'Tablas AR'!$A$17,"Bajo",IF(F23&lt;'Tablas AR'!$A$18,"Moderado",IF(F23&lt;'Tablas AR'!$A$19,"Alto","Crítico"))))</f>
        <v/>
      </c>
      <c r="H23" s="6" t="str">
        <f>IF(F23="","",IF(F23&gt;='Tablas AR'!$A$19,"Urgente",IF(F23&gt;='Tablas AR'!$A$18,"Prioritaria",IF(F23&gt;='Tablas AR'!$A$17,"Programar","Evaluar aceptación"))))</f>
        <v/>
      </c>
      <c r="I23" s="6" t="str">
        <f>IF('Cruces Activo-Amenaza'!L23="","",'Cruces Activo-Amenaza'!L23)</f>
        <v/>
      </c>
      <c r="J23" s="1"/>
      <c r="K23" s="1"/>
      <c r="L23" s="1"/>
      <c r="M23" s="1"/>
      <c r="N23" s="1"/>
    </row>
    <row r="24" spans="1:14" ht="38.1" customHeight="1">
      <c r="A24" s="6" t="str">
        <f>IF('Cruces Activo-Amenaza'!A24="","",'Cruces Activo-Amenaza'!A24)</f>
        <v/>
      </c>
      <c r="B24" s="6" t="str">
        <f>IF('Cruces Activo-Amenaza'!C24="","",'Cruces Activo-Amenaza'!C24)</f>
        <v/>
      </c>
      <c r="C24" s="6" t="str">
        <f>IF('Cruces Activo-Amenaza'!E24="","",'Cruces Activo-Amenaza'!E24)</f>
        <v/>
      </c>
      <c r="D24" s="6" t="str">
        <f>IF('Cruces Activo-Amenaza'!L24="Listo",'Cruces Activo-Amenaza'!I24,"")</f>
        <v/>
      </c>
      <c r="E24" s="6" t="str">
        <f>IF('Cruces Activo-Amenaza'!L24="Listo",'Cruces Activo-Amenaza'!J24,"")</f>
        <v/>
      </c>
      <c r="F24" s="6" t="str">
        <f t="shared" si="0"/>
        <v/>
      </c>
      <c r="G24" s="6" t="str">
        <f>IF(F24="","",IF(F24&lt;'Tablas AR'!$A$17,"Bajo",IF(F24&lt;'Tablas AR'!$A$18,"Moderado",IF(F24&lt;'Tablas AR'!$A$19,"Alto","Crítico"))))</f>
        <v/>
      </c>
      <c r="H24" s="6" t="str">
        <f>IF(F24="","",IF(F24&gt;='Tablas AR'!$A$19,"Urgente",IF(F24&gt;='Tablas AR'!$A$18,"Prioritaria",IF(F24&gt;='Tablas AR'!$A$17,"Programar","Evaluar aceptación"))))</f>
        <v/>
      </c>
      <c r="I24" s="6" t="str">
        <f>IF('Cruces Activo-Amenaza'!L24="","",'Cruces Activo-Amenaza'!L24)</f>
        <v/>
      </c>
      <c r="J24" s="1"/>
      <c r="K24" s="1"/>
      <c r="L24" s="1"/>
      <c r="M24" s="1"/>
      <c r="N24" s="1"/>
    </row>
    <row r="25" spans="1:14" ht="38.1" customHeight="1">
      <c r="A25" s="6" t="str">
        <f>IF('Cruces Activo-Amenaza'!A25="","",'Cruces Activo-Amenaza'!A25)</f>
        <v/>
      </c>
      <c r="B25" s="6" t="str">
        <f>IF('Cruces Activo-Amenaza'!C25="","",'Cruces Activo-Amenaza'!C25)</f>
        <v/>
      </c>
      <c r="C25" s="6" t="str">
        <f>IF('Cruces Activo-Amenaza'!E25="","",'Cruces Activo-Amenaza'!E25)</f>
        <v/>
      </c>
      <c r="D25" s="6" t="str">
        <f>IF('Cruces Activo-Amenaza'!L25="Listo",'Cruces Activo-Amenaza'!I25,"")</f>
        <v/>
      </c>
      <c r="E25" s="6" t="str">
        <f>IF('Cruces Activo-Amenaza'!L25="Listo",'Cruces Activo-Amenaza'!J25,"")</f>
        <v/>
      </c>
      <c r="F25" s="6" t="str">
        <f t="shared" si="0"/>
        <v/>
      </c>
      <c r="G25" s="6" t="str">
        <f>IF(F25="","",IF(F25&lt;'Tablas AR'!$A$17,"Bajo",IF(F25&lt;'Tablas AR'!$A$18,"Moderado",IF(F25&lt;'Tablas AR'!$A$19,"Alto","Crítico"))))</f>
        <v/>
      </c>
      <c r="H25" s="6" t="str">
        <f>IF(F25="","",IF(F25&gt;='Tablas AR'!$A$19,"Urgente",IF(F25&gt;='Tablas AR'!$A$18,"Prioritaria",IF(F25&gt;='Tablas AR'!$A$17,"Programar","Evaluar aceptación"))))</f>
        <v/>
      </c>
      <c r="I25" s="6" t="str">
        <f>IF('Cruces Activo-Amenaza'!L25="","",'Cruces Activo-Amenaza'!L25)</f>
        <v/>
      </c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33.950000000000003" customHeight="1">
      <c r="A30" s="4" t="s">
        <v>31</v>
      </c>
      <c r="B30" s="4" t="s">
        <v>60</v>
      </c>
      <c r="C30" s="4" t="s">
        <v>61</v>
      </c>
      <c r="D30" s="4" t="s">
        <v>62</v>
      </c>
      <c r="E30" s="4" t="s">
        <v>63</v>
      </c>
      <c r="F30" s="4" t="s">
        <v>236</v>
      </c>
      <c r="G30" s="4" t="s">
        <v>237</v>
      </c>
      <c r="H30" s="4" t="s">
        <v>38</v>
      </c>
      <c r="I30" s="4" t="s">
        <v>39</v>
      </c>
      <c r="J30" s="4" t="s">
        <v>40</v>
      </c>
      <c r="K30" s="4" t="s">
        <v>238</v>
      </c>
      <c r="L30" s="4" t="s">
        <v>239</v>
      </c>
      <c r="M30" s="4" t="s">
        <v>240</v>
      </c>
      <c r="N30" s="4" t="s">
        <v>241</v>
      </c>
    </row>
    <row r="31" spans="1:14" ht="65.099999999999994" customHeight="1">
      <c r="A31" s="6" t="str">
        <f t="shared" ref="A31:A50" si="1">IF(A6="","",A6)</f>
        <v/>
      </c>
      <c r="B31" s="5" t="s">
        <v>278</v>
      </c>
      <c r="C31" s="5" t="s">
        <v>279</v>
      </c>
      <c r="D31" s="5" t="s">
        <v>250</v>
      </c>
      <c r="E31" s="5">
        <v>30</v>
      </c>
      <c r="F31" s="5" t="s">
        <v>301</v>
      </c>
      <c r="G31" s="5" t="s">
        <v>289</v>
      </c>
      <c r="H31" s="5">
        <v>1</v>
      </c>
      <c r="I31" s="5">
        <v>3</v>
      </c>
      <c r="J31" s="6" t="str">
        <f t="shared" ref="J31:J50" si="2">IF(A31="","",IF(I6&lt;&gt;"Listo","Falta evaluación actual",IF(OR(COUNT(H31:I31)&lt;&gt;2,H31&lt;1,H31&gt;5,I31&lt;1,I31&gt;5,MOD(H31,1)&lt;&gt;0,MOD(I31,1)&lt;&gt;0),"Faltan P/I válidos",H31*I31)))</f>
        <v/>
      </c>
      <c r="K31" s="6" t="str">
        <f>IF(ISNUMBER(J31),IF(J31&lt;'Tablas AR'!$A$17,"Bajo",IF(J31&lt;'Tablas AR'!$A$18,"Moderado",IF(J31&lt;'Tablas AR'!$A$19,"Alto","Crítico"))),"")</f>
        <v/>
      </c>
      <c r="L31" s="7" t="str">
        <f t="shared" ref="L31:L50" si="3">IF(ISNUMBER(J31),(F6-J31)/F6,"")</f>
        <v/>
      </c>
      <c r="M31" s="6" t="str">
        <f>IF(A31="","",IF(OR(B31="",C31="",D31="",NOT(ISNUMBER(E31)),E31&lt;=0,F31="",G31="",N31=""),"Completar tratamiento y decisión",IF(NOT(ISNUMBER(J31)),"Completar evaluación",IF(F31="Verificado",IF(J31&lt;='Tablas AR'!$B$22,"Verificado; revisar aceptación","Verificado; requiere tratamiento"),IF(J31&lt;='Tablas AR'!$B$22,"Previsto; requiere prueba","Previsto; requiere tratamiento")))))</f>
        <v/>
      </c>
      <c r="N31" s="5" t="s">
        <v>299</v>
      </c>
    </row>
    <row r="32" spans="1:14" ht="65.099999999999994" customHeight="1">
      <c r="A32" s="6" t="str">
        <f t="shared" si="1"/>
        <v/>
      </c>
      <c r="B32" s="5" t="s">
        <v>278</v>
      </c>
      <c r="C32" s="5" t="s">
        <v>280</v>
      </c>
      <c r="D32" s="5" t="s">
        <v>248</v>
      </c>
      <c r="E32" s="5">
        <v>30</v>
      </c>
      <c r="F32" s="5" t="s">
        <v>301</v>
      </c>
      <c r="G32" s="5" t="s">
        <v>290</v>
      </c>
      <c r="H32" s="5">
        <v>2</v>
      </c>
      <c r="I32" s="5">
        <v>2</v>
      </c>
      <c r="J32" s="6" t="str">
        <f t="shared" si="2"/>
        <v/>
      </c>
      <c r="K32" s="6" t="str">
        <f>IF(ISNUMBER(J32),IF(J32&lt;'Tablas AR'!$A$17,"Bajo",IF(J32&lt;'Tablas AR'!$A$18,"Moderado",IF(J32&lt;'Tablas AR'!$A$19,"Alto","Crítico"))),"")</f>
        <v/>
      </c>
      <c r="L32" s="7" t="str">
        <f t="shared" si="3"/>
        <v/>
      </c>
      <c r="M32" s="6" t="str">
        <f>IF(A32="","",IF(OR(B32="",C32="",D32="",NOT(ISNUMBER(E32)),E32&lt;=0,F32="",G32="",N32=""),"Completar tratamiento y decisión",IF(NOT(ISNUMBER(J32)),"Completar evaluación",IF(F32="Verificado",IF(J32&lt;='Tablas AR'!$B$22,"Verificado; revisar aceptación","Verificado; requiere tratamiento"),IF(J32&lt;='Tablas AR'!$B$22,"Previsto; requiere prueba","Previsto; requiere tratamiento")))))</f>
        <v/>
      </c>
      <c r="N32" s="5" t="s">
        <v>299</v>
      </c>
    </row>
    <row r="33" spans="1:14" ht="65.099999999999994" customHeight="1">
      <c r="A33" s="6" t="str">
        <f t="shared" si="1"/>
        <v/>
      </c>
      <c r="B33" s="5" t="s">
        <v>278</v>
      </c>
      <c r="C33" s="5" t="s">
        <v>281</v>
      </c>
      <c r="D33" s="5" t="s">
        <v>248</v>
      </c>
      <c r="E33" s="5">
        <v>20</v>
      </c>
      <c r="F33" s="5" t="s">
        <v>301</v>
      </c>
      <c r="G33" s="5" t="s">
        <v>291</v>
      </c>
      <c r="H33" s="5">
        <v>1</v>
      </c>
      <c r="I33" s="5">
        <v>4</v>
      </c>
      <c r="J33" s="6" t="str">
        <f t="shared" si="2"/>
        <v/>
      </c>
      <c r="K33" s="6" t="str">
        <f>IF(ISNUMBER(J33),IF(J33&lt;'Tablas AR'!$A$17,"Bajo",IF(J33&lt;'Tablas AR'!$A$18,"Moderado",IF(J33&lt;'Tablas AR'!$A$19,"Alto","Crítico"))),"")</f>
        <v/>
      </c>
      <c r="L33" s="7" t="str">
        <f t="shared" si="3"/>
        <v/>
      </c>
      <c r="M33" s="6" t="str">
        <f>IF(A33="","",IF(OR(B33="",C33="",D33="",NOT(ISNUMBER(E33)),E33&lt;=0,F33="",G33="",N33=""),"Completar tratamiento y decisión",IF(NOT(ISNUMBER(J33)),"Completar evaluación",IF(F33="Verificado",IF(J33&lt;='Tablas AR'!$B$22,"Verificado; revisar aceptación","Verificado; requiere tratamiento"),IF(J33&lt;='Tablas AR'!$B$22,"Previsto; requiere prueba","Previsto; requiere tratamiento")))))</f>
        <v/>
      </c>
      <c r="N33" s="5" t="s">
        <v>299</v>
      </c>
    </row>
    <row r="34" spans="1:14" ht="65.099999999999994" customHeight="1">
      <c r="A34" s="6" t="str">
        <f t="shared" si="1"/>
        <v/>
      </c>
      <c r="B34" s="5" t="s">
        <v>278</v>
      </c>
      <c r="C34" s="5" t="s">
        <v>282</v>
      </c>
      <c r="D34" s="5" t="s">
        <v>249</v>
      </c>
      <c r="E34" s="5">
        <v>30</v>
      </c>
      <c r="F34" s="5" t="s">
        <v>301</v>
      </c>
      <c r="G34" s="5" t="s">
        <v>292</v>
      </c>
      <c r="H34" s="5">
        <v>2</v>
      </c>
      <c r="I34" s="5">
        <v>2</v>
      </c>
      <c r="J34" s="6" t="str">
        <f t="shared" si="2"/>
        <v/>
      </c>
      <c r="K34" s="6" t="str">
        <f>IF(ISNUMBER(J34),IF(J34&lt;'Tablas AR'!$A$17,"Bajo",IF(J34&lt;'Tablas AR'!$A$18,"Moderado",IF(J34&lt;'Tablas AR'!$A$19,"Alto","Crítico"))),"")</f>
        <v/>
      </c>
      <c r="L34" s="7" t="str">
        <f t="shared" si="3"/>
        <v/>
      </c>
      <c r="M34" s="6" t="str">
        <f>IF(A34="","",IF(OR(B34="",C34="",D34="",NOT(ISNUMBER(E34)),E34&lt;=0,F34="",G34="",N34=""),"Completar tratamiento y decisión",IF(NOT(ISNUMBER(J34)),"Completar evaluación",IF(F34="Verificado",IF(J34&lt;='Tablas AR'!$B$22,"Verificado; revisar aceptación","Verificado; requiere tratamiento"),IF(J34&lt;='Tablas AR'!$B$22,"Previsto; requiere prueba","Previsto; requiere tratamiento")))))</f>
        <v/>
      </c>
      <c r="N34" s="5" t="s">
        <v>299</v>
      </c>
    </row>
    <row r="35" spans="1:14" ht="65.099999999999994" customHeight="1">
      <c r="A35" s="6" t="str">
        <f t="shared" si="1"/>
        <v/>
      </c>
      <c r="B35" s="5" t="s">
        <v>278</v>
      </c>
      <c r="C35" s="5" t="s">
        <v>283</v>
      </c>
      <c r="D35" s="5" t="s">
        <v>250</v>
      </c>
      <c r="E35" s="5">
        <v>15</v>
      </c>
      <c r="F35" s="5" t="s">
        <v>301</v>
      </c>
      <c r="G35" s="5" t="s">
        <v>293</v>
      </c>
      <c r="H35" s="5">
        <v>2</v>
      </c>
      <c r="I35" s="5">
        <v>2</v>
      </c>
      <c r="J35" s="6" t="str">
        <f t="shared" si="2"/>
        <v/>
      </c>
      <c r="K35" s="6" t="str">
        <f>IF(ISNUMBER(J35),IF(J35&lt;'Tablas AR'!$A$17,"Bajo",IF(J35&lt;'Tablas AR'!$A$18,"Moderado",IF(J35&lt;'Tablas AR'!$A$19,"Alto","Crítico"))),"")</f>
        <v/>
      </c>
      <c r="L35" s="7" t="str">
        <f t="shared" si="3"/>
        <v/>
      </c>
      <c r="M35" s="6" t="str">
        <f>IF(A35="","",IF(OR(B35="",C35="",D35="",NOT(ISNUMBER(E35)),E35&lt;=0,F35="",G35="",N35=""),"Completar tratamiento y decisión",IF(NOT(ISNUMBER(J35)),"Completar evaluación",IF(F35="Verificado",IF(J35&lt;='Tablas AR'!$B$22,"Verificado; revisar aceptación","Verificado; requiere tratamiento"),IF(J35&lt;='Tablas AR'!$B$22,"Previsto; requiere prueba","Previsto; requiere tratamiento")))))</f>
        <v/>
      </c>
      <c r="N35" s="5" t="s">
        <v>299</v>
      </c>
    </row>
    <row r="36" spans="1:14" ht="65.099999999999994" customHeight="1">
      <c r="A36" s="6" t="str">
        <f t="shared" si="1"/>
        <v/>
      </c>
      <c r="B36" s="5" t="s">
        <v>278</v>
      </c>
      <c r="C36" s="5" t="s">
        <v>284</v>
      </c>
      <c r="D36" s="5" t="s">
        <v>247</v>
      </c>
      <c r="E36" s="5">
        <v>15</v>
      </c>
      <c r="F36" s="5" t="s">
        <v>301</v>
      </c>
      <c r="G36" s="5" t="s">
        <v>294</v>
      </c>
      <c r="H36" s="5">
        <v>1</v>
      </c>
      <c r="I36" s="5">
        <v>5</v>
      </c>
      <c r="J36" s="6" t="str">
        <f t="shared" si="2"/>
        <v/>
      </c>
      <c r="K36" s="6" t="str">
        <f>IF(ISNUMBER(J36),IF(J36&lt;'Tablas AR'!$A$17,"Bajo",IF(J36&lt;'Tablas AR'!$A$18,"Moderado",IF(J36&lt;'Tablas AR'!$A$19,"Alto","Crítico"))),"")</f>
        <v/>
      </c>
      <c r="L36" s="7" t="str">
        <f t="shared" si="3"/>
        <v/>
      </c>
      <c r="M36" s="6" t="str">
        <f>IF(A36="","",IF(OR(B36="",C36="",D36="",NOT(ISNUMBER(E36)),E36&lt;=0,F36="",G36="",N36=""),"Completar tratamiento y decisión",IF(NOT(ISNUMBER(J36)),"Completar evaluación",IF(F36="Verificado",IF(J36&lt;='Tablas AR'!$B$22,"Verificado; revisar aceptación","Verificado; requiere tratamiento"),IF(J36&lt;='Tablas AR'!$B$22,"Previsto; requiere prueba","Previsto; requiere tratamiento")))))</f>
        <v/>
      </c>
      <c r="N36" s="5" t="s">
        <v>300</v>
      </c>
    </row>
    <row r="37" spans="1:14" ht="65.099999999999994" customHeight="1">
      <c r="A37" s="6" t="str">
        <f t="shared" si="1"/>
        <v/>
      </c>
      <c r="B37" s="5" t="s">
        <v>278</v>
      </c>
      <c r="C37" s="5" t="s">
        <v>285</v>
      </c>
      <c r="D37" s="5" t="s">
        <v>249</v>
      </c>
      <c r="E37" s="5">
        <v>45</v>
      </c>
      <c r="F37" s="5" t="s">
        <v>301</v>
      </c>
      <c r="G37" s="5" t="s">
        <v>295</v>
      </c>
      <c r="H37" s="5">
        <v>1</v>
      </c>
      <c r="I37" s="5">
        <v>3</v>
      </c>
      <c r="J37" s="6" t="str">
        <f t="shared" si="2"/>
        <v/>
      </c>
      <c r="K37" s="6" t="str">
        <f>IF(ISNUMBER(J37),IF(J37&lt;'Tablas AR'!$A$17,"Bajo",IF(J37&lt;'Tablas AR'!$A$18,"Moderado",IF(J37&lt;'Tablas AR'!$A$19,"Alto","Crítico"))),"")</f>
        <v/>
      </c>
      <c r="L37" s="7" t="str">
        <f t="shared" si="3"/>
        <v/>
      </c>
      <c r="M37" s="6" t="str">
        <f>IF(A37="","",IF(OR(B37="",C37="",D37="",NOT(ISNUMBER(E37)),E37&lt;=0,F37="",G37="",N37=""),"Completar tratamiento y decisión",IF(NOT(ISNUMBER(J37)),"Completar evaluación",IF(F37="Verificado",IF(J37&lt;='Tablas AR'!$B$22,"Verificado; revisar aceptación","Verificado; requiere tratamiento"),IF(J37&lt;='Tablas AR'!$B$22,"Previsto; requiere prueba","Previsto; requiere tratamiento")))))</f>
        <v/>
      </c>
      <c r="N37" s="5" t="s">
        <v>299</v>
      </c>
    </row>
    <row r="38" spans="1:14" ht="65.099999999999994" customHeight="1">
      <c r="A38" s="6" t="str">
        <f t="shared" si="1"/>
        <v/>
      </c>
      <c r="B38" s="5" t="s">
        <v>278</v>
      </c>
      <c r="C38" s="5" t="s">
        <v>286</v>
      </c>
      <c r="D38" s="5" t="s">
        <v>249</v>
      </c>
      <c r="E38" s="5">
        <v>60</v>
      </c>
      <c r="F38" s="5" t="s">
        <v>301</v>
      </c>
      <c r="G38" s="5" t="s">
        <v>296</v>
      </c>
      <c r="H38" s="5">
        <v>2</v>
      </c>
      <c r="I38" s="5">
        <v>2</v>
      </c>
      <c r="J38" s="6" t="str">
        <f t="shared" si="2"/>
        <v/>
      </c>
      <c r="K38" s="6" t="str">
        <f>IF(ISNUMBER(J38),IF(J38&lt;'Tablas AR'!$A$17,"Bajo",IF(J38&lt;'Tablas AR'!$A$18,"Moderado",IF(J38&lt;'Tablas AR'!$A$19,"Alto","Crítico"))),"")</f>
        <v/>
      </c>
      <c r="L38" s="7" t="str">
        <f t="shared" si="3"/>
        <v/>
      </c>
      <c r="M38" s="6" t="str">
        <f>IF(A38="","",IF(OR(B38="",C38="",D38="",NOT(ISNUMBER(E38)),E38&lt;=0,F38="",G38="",N38=""),"Completar tratamiento y decisión",IF(NOT(ISNUMBER(J38)),"Completar evaluación",IF(F38="Verificado",IF(J38&lt;='Tablas AR'!$B$22,"Verificado; revisar aceptación","Verificado; requiere tratamiento"),IF(J38&lt;='Tablas AR'!$B$22,"Previsto; requiere prueba","Previsto; requiere tratamiento")))))</f>
        <v/>
      </c>
      <c r="N38" s="5" t="s">
        <v>299</v>
      </c>
    </row>
    <row r="39" spans="1:14" ht="65.099999999999994" customHeight="1">
      <c r="A39" s="6" t="str">
        <f t="shared" si="1"/>
        <v/>
      </c>
      <c r="B39" s="5" t="s">
        <v>278</v>
      </c>
      <c r="C39" s="5" t="s">
        <v>287</v>
      </c>
      <c r="D39" s="5" t="s">
        <v>248</v>
      </c>
      <c r="E39" s="5">
        <v>30</v>
      </c>
      <c r="F39" s="5" t="s">
        <v>301</v>
      </c>
      <c r="G39" s="5" t="s">
        <v>297</v>
      </c>
      <c r="H39" s="5">
        <v>1</v>
      </c>
      <c r="I39" s="5">
        <v>3</v>
      </c>
      <c r="J39" s="6" t="str">
        <f t="shared" si="2"/>
        <v/>
      </c>
      <c r="K39" s="6" t="str">
        <f>IF(ISNUMBER(J39),IF(J39&lt;'Tablas AR'!$A$17,"Bajo",IF(J39&lt;'Tablas AR'!$A$18,"Moderado",IF(J39&lt;'Tablas AR'!$A$19,"Alto","Crítico"))),"")</f>
        <v/>
      </c>
      <c r="L39" s="7" t="str">
        <f t="shared" si="3"/>
        <v/>
      </c>
      <c r="M39" s="6" t="str">
        <f>IF(A39="","",IF(OR(B39="",C39="",D39="",NOT(ISNUMBER(E39)),E39&lt;=0,F39="",G39="",N39=""),"Completar tratamiento y decisión",IF(NOT(ISNUMBER(J39)),"Completar evaluación",IF(F39="Verificado",IF(J39&lt;='Tablas AR'!$B$22,"Verificado; revisar aceptación","Verificado; requiere tratamiento"),IF(J39&lt;='Tablas AR'!$B$22,"Previsto; requiere prueba","Previsto; requiere tratamiento")))))</f>
        <v/>
      </c>
      <c r="N39" s="5" t="s">
        <v>299</v>
      </c>
    </row>
    <row r="40" spans="1:14" ht="65.099999999999994" customHeight="1">
      <c r="A40" s="6" t="str">
        <f t="shared" si="1"/>
        <v/>
      </c>
      <c r="B40" s="5" t="s">
        <v>278</v>
      </c>
      <c r="C40" s="5" t="s">
        <v>288</v>
      </c>
      <c r="D40" s="5" t="s">
        <v>248</v>
      </c>
      <c r="E40" s="5">
        <v>15</v>
      </c>
      <c r="F40" s="5" t="s">
        <v>301</v>
      </c>
      <c r="G40" s="5" t="s">
        <v>298</v>
      </c>
      <c r="H40" s="5">
        <v>2</v>
      </c>
      <c r="I40" s="5">
        <v>2</v>
      </c>
      <c r="J40" s="6" t="str">
        <f t="shared" si="2"/>
        <v/>
      </c>
      <c r="K40" s="6" t="str">
        <f>IF(ISNUMBER(J40),IF(J40&lt;'Tablas AR'!$A$17,"Bajo",IF(J40&lt;'Tablas AR'!$A$18,"Moderado",IF(J40&lt;'Tablas AR'!$A$19,"Alto","Crítico"))),"")</f>
        <v/>
      </c>
      <c r="L40" s="7" t="str">
        <f t="shared" si="3"/>
        <v/>
      </c>
      <c r="M40" s="6" t="str">
        <f>IF(A40="","",IF(OR(B40="",C40="",D40="",NOT(ISNUMBER(E40)),E40&lt;=0,F40="",G40="",N40=""),"Completar tratamiento y decisión",IF(NOT(ISNUMBER(J40)),"Completar evaluación",IF(F40="Verificado",IF(J40&lt;='Tablas AR'!$B$22,"Verificado; revisar aceptación","Verificado; requiere tratamiento"),IF(J40&lt;='Tablas AR'!$B$22,"Previsto; requiere prueba","Previsto; requiere tratamiento")))))</f>
        <v/>
      </c>
      <c r="N40" s="5" t="s">
        <v>299</v>
      </c>
    </row>
    <row r="41" spans="1:14" ht="65.099999999999994" customHeight="1">
      <c r="A41" s="6" t="str">
        <f t="shared" si="1"/>
        <v/>
      </c>
      <c r="B41" s="5"/>
      <c r="C41" s="5"/>
      <c r="D41" s="5"/>
      <c r="E41" s="5"/>
      <c r="F41" s="5"/>
      <c r="G41" s="5"/>
      <c r="H41" s="5"/>
      <c r="I41" s="5"/>
      <c r="J41" s="6" t="str">
        <f t="shared" si="2"/>
        <v/>
      </c>
      <c r="K41" s="6" t="str">
        <f>IF(ISNUMBER(J41),IF(J41&lt;'Tablas AR'!$A$17,"Bajo",IF(J41&lt;'Tablas AR'!$A$18,"Moderado",IF(J41&lt;'Tablas AR'!$A$19,"Alto","Crítico"))),"")</f>
        <v/>
      </c>
      <c r="L41" s="7" t="str">
        <f t="shared" si="3"/>
        <v/>
      </c>
      <c r="M41" s="6" t="str">
        <f>IF(A41="","",IF(OR(B41="",C41="",D41="",NOT(ISNUMBER(E41)),E41&lt;=0,F41="",G41="",N41=""),"Completar tratamiento y decisión",IF(NOT(ISNUMBER(J41)),"Completar evaluación",IF(F41="Verificado",IF(J41&lt;='Tablas AR'!$B$22,"Verificado; revisar aceptación","Verificado; requiere tratamiento"),IF(J41&lt;='Tablas AR'!$B$22,"Previsto; requiere prueba","Previsto; requiere tratamiento")))))</f>
        <v/>
      </c>
      <c r="N41" s="5"/>
    </row>
    <row r="42" spans="1:14" ht="65.099999999999994" customHeight="1">
      <c r="A42" s="6" t="str">
        <f t="shared" si="1"/>
        <v/>
      </c>
      <c r="B42" s="5"/>
      <c r="C42" s="5"/>
      <c r="D42" s="5"/>
      <c r="E42" s="5"/>
      <c r="F42" s="5"/>
      <c r="G42" s="5"/>
      <c r="H42" s="5"/>
      <c r="I42" s="5"/>
      <c r="J42" s="6" t="str">
        <f t="shared" si="2"/>
        <v/>
      </c>
      <c r="K42" s="6" t="str">
        <f>IF(ISNUMBER(J42),IF(J42&lt;'Tablas AR'!$A$17,"Bajo",IF(J42&lt;'Tablas AR'!$A$18,"Moderado",IF(J42&lt;'Tablas AR'!$A$19,"Alto","Crítico"))),"")</f>
        <v/>
      </c>
      <c r="L42" s="7" t="str">
        <f t="shared" si="3"/>
        <v/>
      </c>
      <c r="M42" s="6" t="str">
        <f>IF(A42="","",IF(OR(B42="",C42="",D42="",NOT(ISNUMBER(E42)),E42&lt;=0,F42="",G42="",N42=""),"Completar tratamiento y decisión",IF(NOT(ISNUMBER(J42)),"Completar evaluación",IF(F42="Verificado",IF(J42&lt;='Tablas AR'!$B$22,"Verificado; revisar aceptación","Verificado; requiere tratamiento"),IF(J42&lt;='Tablas AR'!$B$22,"Previsto; requiere prueba","Previsto; requiere tratamiento")))))</f>
        <v/>
      </c>
      <c r="N42" s="5"/>
    </row>
    <row r="43" spans="1:14" ht="65.099999999999994" customHeight="1">
      <c r="A43" s="6" t="str">
        <f t="shared" si="1"/>
        <v/>
      </c>
      <c r="B43" s="5"/>
      <c r="C43" s="5"/>
      <c r="D43" s="5"/>
      <c r="E43" s="5"/>
      <c r="F43" s="5"/>
      <c r="G43" s="5"/>
      <c r="H43" s="5"/>
      <c r="I43" s="5"/>
      <c r="J43" s="6" t="str">
        <f t="shared" si="2"/>
        <v/>
      </c>
      <c r="K43" s="6" t="str">
        <f>IF(ISNUMBER(J43),IF(J43&lt;'Tablas AR'!$A$17,"Bajo",IF(J43&lt;'Tablas AR'!$A$18,"Moderado",IF(J43&lt;'Tablas AR'!$A$19,"Alto","Crítico"))),"")</f>
        <v/>
      </c>
      <c r="L43" s="7" t="str">
        <f t="shared" si="3"/>
        <v/>
      </c>
      <c r="M43" s="6" t="str">
        <f>IF(A43="","",IF(OR(B43="",C43="",D43="",NOT(ISNUMBER(E43)),E43&lt;=0,F43="",G43="",N43=""),"Completar tratamiento y decisión",IF(NOT(ISNUMBER(J43)),"Completar evaluación",IF(F43="Verificado",IF(J43&lt;='Tablas AR'!$B$22,"Verificado; revisar aceptación","Verificado; requiere tratamiento"),IF(J43&lt;='Tablas AR'!$B$22,"Previsto; requiere prueba","Previsto; requiere tratamiento")))))</f>
        <v/>
      </c>
      <c r="N43" s="5"/>
    </row>
    <row r="44" spans="1:14" ht="65.099999999999994" customHeight="1">
      <c r="A44" s="6" t="str">
        <f t="shared" si="1"/>
        <v/>
      </c>
      <c r="B44" s="5"/>
      <c r="C44" s="5"/>
      <c r="D44" s="5"/>
      <c r="E44" s="5"/>
      <c r="F44" s="5"/>
      <c r="G44" s="5"/>
      <c r="H44" s="5"/>
      <c r="I44" s="5"/>
      <c r="J44" s="6" t="str">
        <f t="shared" si="2"/>
        <v/>
      </c>
      <c r="K44" s="6" t="str">
        <f>IF(ISNUMBER(J44),IF(J44&lt;'Tablas AR'!$A$17,"Bajo",IF(J44&lt;'Tablas AR'!$A$18,"Moderado",IF(J44&lt;'Tablas AR'!$A$19,"Alto","Crítico"))),"")</f>
        <v/>
      </c>
      <c r="L44" s="7" t="str">
        <f t="shared" si="3"/>
        <v/>
      </c>
      <c r="M44" s="6" t="str">
        <f>IF(A44="","",IF(OR(B44="",C44="",D44="",NOT(ISNUMBER(E44)),E44&lt;=0,F44="",G44="",N44=""),"Completar tratamiento y decisión",IF(NOT(ISNUMBER(J44)),"Completar evaluación",IF(F44="Verificado",IF(J44&lt;='Tablas AR'!$B$22,"Verificado; revisar aceptación","Verificado; requiere tratamiento"),IF(J44&lt;='Tablas AR'!$B$22,"Previsto; requiere prueba","Previsto; requiere tratamiento")))))</f>
        <v/>
      </c>
      <c r="N44" s="5"/>
    </row>
    <row r="45" spans="1:14" ht="65.099999999999994" customHeight="1">
      <c r="A45" s="6" t="str">
        <f t="shared" si="1"/>
        <v/>
      </c>
      <c r="B45" s="5"/>
      <c r="C45" s="5"/>
      <c r="D45" s="5"/>
      <c r="E45" s="5"/>
      <c r="F45" s="5"/>
      <c r="G45" s="5"/>
      <c r="H45" s="5"/>
      <c r="I45" s="5"/>
      <c r="J45" s="6" t="str">
        <f t="shared" si="2"/>
        <v/>
      </c>
      <c r="K45" s="6" t="str">
        <f>IF(ISNUMBER(J45),IF(J45&lt;'Tablas AR'!$A$17,"Bajo",IF(J45&lt;'Tablas AR'!$A$18,"Moderado",IF(J45&lt;'Tablas AR'!$A$19,"Alto","Crítico"))),"")</f>
        <v/>
      </c>
      <c r="L45" s="7" t="str">
        <f t="shared" si="3"/>
        <v/>
      </c>
      <c r="M45" s="6" t="str">
        <f>IF(A45="","",IF(OR(B45="",C45="",D45="",NOT(ISNUMBER(E45)),E45&lt;=0,F45="",G45="",N45=""),"Completar tratamiento y decisión",IF(NOT(ISNUMBER(J45)),"Completar evaluación",IF(F45="Verificado",IF(J45&lt;='Tablas AR'!$B$22,"Verificado; revisar aceptación","Verificado; requiere tratamiento"),IF(J45&lt;='Tablas AR'!$B$22,"Previsto; requiere prueba","Previsto; requiere tratamiento")))))</f>
        <v/>
      </c>
      <c r="N45" s="5"/>
    </row>
    <row r="46" spans="1:14" ht="65.099999999999994" customHeight="1">
      <c r="A46" s="6" t="str">
        <f t="shared" si="1"/>
        <v/>
      </c>
      <c r="B46" s="5"/>
      <c r="C46" s="5"/>
      <c r="D46" s="5"/>
      <c r="E46" s="5"/>
      <c r="F46" s="5"/>
      <c r="G46" s="5"/>
      <c r="H46" s="5"/>
      <c r="I46" s="5"/>
      <c r="J46" s="6" t="str">
        <f t="shared" si="2"/>
        <v/>
      </c>
      <c r="K46" s="6" t="str">
        <f>IF(ISNUMBER(J46),IF(J46&lt;'Tablas AR'!$A$17,"Bajo",IF(J46&lt;'Tablas AR'!$A$18,"Moderado",IF(J46&lt;'Tablas AR'!$A$19,"Alto","Crítico"))),"")</f>
        <v/>
      </c>
      <c r="L46" s="7" t="str">
        <f t="shared" si="3"/>
        <v/>
      </c>
      <c r="M46" s="6" t="str">
        <f>IF(A46="","",IF(OR(B46="",C46="",D46="",NOT(ISNUMBER(E46)),E46&lt;=0,F46="",G46="",N46=""),"Completar tratamiento y decisión",IF(NOT(ISNUMBER(J46)),"Completar evaluación",IF(F46="Verificado",IF(J46&lt;='Tablas AR'!$B$22,"Verificado; revisar aceptación","Verificado; requiere tratamiento"),IF(J46&lt;='Tablas AR'!$B$22,"Previsto; requiere prueba","Previsto; requiere tratamiento")))))</f>
        <v/>
      </c>
      <c r="N46" s="5"/>
    </row>
    <row r="47" spans="1:14" ht="65.099999999999994" customHeight="1">
      <c r="A47" s="6" t="str">
        <f t="shared" si="1"/>
        <v/>
      </c>
      <c r="B47" s="5"/>
      <c r="C47" s="5"/>
      <c r="D47" s="5"/>
      <c r="E47" s="5"/>
      <c r="F47" s="5"/>
      <c r="G47" s="5"/>
      <c r="H47" s="5"/>
      <c r="I47" s="5"/>
      <c r="J47" s="6" t="str">
        <f t="shared" si="2"/>
        <v/>
      </c>
      <c r="K47" s="6" t="str">
        <f>IF(ISNUMBER(J47),IF(J47&lt;'Tablas AR'!$A$17,"Bajo",IF(J47&lt;'Tablas AR'!$A$18,"Moderado",IF(J47&lt;'Tablas AR'!$A$19,"Alto","Crítico"))),"")</f>
        <v/>
      </c>
      <c r="L47" s="7" t="str">
        <f t="shared" si="3"/>
        <v/>
      </c>
      <c r="M47" s="6" t="str">
        <f>IF(A47="","",IF(OR(B47="",C47="",D47="",NOT(ISNUMBER(E47)),E47&lt;=0,F47="",G47="",N47=""),"Completar tratamiento y decisión",IF(NOT(ISNUMBER(J47)),"Completar evaluación",IF(F47="Verificado",IF(J47&lt;='Tablas AR'!$B$22,"Verificado; revisar aceptación","Verificado; requiere tratamiento"),IF(J47&lt;='Tablas AR'!$B$22,"Previsto; requiere prueba","Previsto; requiere tratamiento")))))</f>
        <v/>
      </c>
      <c r="N47" s="5"/>
    </row>
    <row r="48" spans="1:14" ht="65.099999999999994" customHeight="1">
      <c r="A48" s="6" t="str">
        <f t="shared" si="1"/>
        <v/>
      </c>
      <c r="B48" s="5"/>
      <c r="C48" s="5"/>
      <c r="D48" s="5"/>
      <c r="E48" s="5"/>
      <c r="F48" s="5"/>
      <c r="G48" s="5"/>
      <c r="H48" s="5"/>
      <c r="I48" s="5"/>
      <c r="J48" s="6" t="str">
        <f t="shared" si="2"/>
        <v/>
      </c>
      <c r="K48" s="6" t="str">
        <f>IF(ISNUMBER(J48),IF(J48&lt;'Tablas AR'!$A$17,"Bajo",IF(J48&lt;'Tablas AR'!$A$18,"Moderado",IF(J48&lt;'Tablas AR'!$A$19,"Alto","Crítico"))),"")</f>
        <v/>
      </c>
      <c r="L48" s="7" t="str">
        <f t="shared" si="3"/>
        <v/>
      </c>
      <c r="M48" s="6" t="str">
        <f>IF(A48="","",IF(OR(B48="",C48="",D48="",NOT(ISNUMBER(E48)),E48&lt;=0,F48="",G48="",N48=""),"Completar tratamiento y decisión",IF(NOT(ISNUMBER(J48)),"Completar evaluación",IF(F48="Verificado",IF(J48&lt;='Tablas AR'!$B$22,"Verificado; revisar aceptación","Verificado; requiere tratamiento"),IF(J48&lt;='Tablas AR'!$B$22,"Previsto; requiere prueba","Previsto; requiere tratamiento")))))</f>
        <v/>
      </c>
      <c r="N48" s="5"/>
    </row>
    <row r="49" spans="1:14" ht="65.099999999999994" customHeight="1">
      <c r="A49" s="6" t="str">
        <f t="shared" si="1"/>
        <v/>
      </c>
      <c r="B49" s="5"/>
      <c r="C49" s="5"/>
      <c r="D49" s="5"/>
      <c r="E49" s="5"/>
      <c r="F49" s="5"/>
      <c r="G49" s="5"/>
      <c r="H49" s="5"/>
      <c r="I49" s="5"/>
      <c r="J49" s="6" t="str">
        <f t="shared" si="2"/>
        <v/>
      </c>
      <c r="K49" s="6" t="str">
        <f>IF(ISNUMBER(J49),IF(J49&lt;'Tablas AR'!$A$17,"Bajo",IF(J49&lt;'Tablas AR'!$A$18,"Moderado",IF(J49&lt;'Tablas AR'!$A$19,"Alto","Crítico"))),"")</f>
        <v/>
      </c>
      <c r="L49" s="7" t="str">
        <f t="shared" si="3"/>
        <v/>
      </c>
      <c r="M49" s="6" t="str">
        <f>IF(A49="","",IF(OR(B49="",C49="",D49="",NOT(ISNUMBER(E49)),E49&lt;=0,F49="",G49="",N49=""),"Completar tratamiento y decisión",IF(NOT(ISNUMBER(J49)),"Completar evaluación",IF(F49="Verificado",IF(J49&lt;='Tablas AR'!$B$22,"Verificado; revisar aceptación","Verificado; requiere tratamiento"),IF(J49&lt;='Tablas AR'!$B$22,"Previsto; requiere prueba","Previsto; requiere tratamiento")))))</f>
        <v/>
      </c>
      <c r="N49" s="5"/>
    </row>
    <row r="50" spans="1:14" ht="65.099999999999994" customHeight="1">
      <c r="A50" s="6" t="str">
        <f t="shared" si="1"/>
        <v/>
      </c>
      <c r="B50" s="5"/>
      <c r="C50" s="5"/>
      <c r="D50" s="5"/>
      <c r="E50" s="5"/>
      <c r="F50" s="5"/>
      <c r="G50" s="5"/>
      <c r="H50" s="5"/>
      <c r="I50" s="5"/>
      <c r="J50" s="6" t="str">
        <f t="shared" si="2"/>
        <v/>
      </c>
      <c r="K50" s="6" t="str">
        <f>IF(ISNUMBER(J50),IF(J50&lt;'Tablas AR'!$A$17,"Bajo",IF(J50&lt;'Tablas AR'!$A$18,"Moderado",IF(J50&lt;'Tablas AR'!$A$19,"Alto","Crítico"))),"")</f>
        <v/>
      </c>
      <c r="L50" s="7" t="str">
        <f t="shared" si="3"/>
        <v/>
      </c>
      <c r="M50" s="6" t="str">
        <f>IF(A50="","",IF(OR(B50="",C50="",D50="",NOT(ISNUMBER(E50)),E50&lt;=0,F50="",G50="",N50=""),"Completar tratamiento y decisión",IF(NOT(ISNUMBER(J50)),"Completar evaluación",IF(F50="Verificado",IF(J50&lt;='Tablas AR'!$B$22,"Verificado; revisar aceptación","Verificado; requiere tratamiento"),IF(J50&lt;='Tablas AR'!$B$22,"Previsto; requiere prueba","Previsto; requiere tratamiento")))))</f>
        <v/>
      </c>
      <c r="N50" s="5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 t="s">
        <v>242</v>
      </c>
      <c r="B53" s="1" t="s">
        <v>243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 t="s">
        <v>112</v>
      </c>
      <c r="B54" s="1">
        <f>COUNTIF($G$6:$G$25,A54)</f>
        <v>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 t="s">
        <v>106</v>
      </c>
      <c r="B55" s="1">
        <f>COUNTIF($G$6:$G$25,A55)</f>
        <v>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 t="s">
        <v>108</v>
      </c>
      <c r="B56" s="1">
        <f>COUNTIF($G$6:$G$25,A56)</f>
        <v>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 t="s">
        <v>110</v>
      </c>
      <c r="B57" s="1">
        <f>COUNTIF($G$6:$G$25,A57)</f>
        <v>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 t="s">
        <v>244</v>
      </c>
      <c r="B58" s="1">
        <f>COUNTIF($I$6:$I$25,"Listo")</f>
        <v>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conditionalFormatting sqref="F6:F25">
    <cfRule type="cellIs" dxfId="7" priority="1" operator="between">
      <formula>1</formula>
      <formula>4</formula>
    </cfRule>
    <cfRule type="cellIs" dxfId="6" priority="2" operator="between">
      <formula>5</formula>
      <formula>9</formula>
    </cfRule>
    <cfRule type="cellIs" dxfId="5" priority="3" operator="between">
      <formula>10</formula>
      <formula>16</formula>
    </cfRule>
    <cfRule type="cellIs" dxfId="4" priority="4" operator="between">
      <formula>17</formula>
      <formula>25</formula>
    </cfRule>
  </conditionalFormatting>
  <conditionalFormatting sqref="J31:J50">
    <cfRule type="cellIs" dxfId="3" priority="5" operator="between">
      <formula>1</formula>
      <formula>4</formula>
    </cfRule>
    <cfRule type="cellIs" dxfId="2" priority="6" operator="between">
      <formula>5</formula>
      <formula>9</formula>
    </cfRule>
    <cfRule type="cellIs" dxfId="1" priority="7" operator="between">
      <formula>10</formula>
      <formula>16</formula>
    </cfRule>
    <cfRule type="cellIs" dxfId="0" priority="8" operator="between">
      <formula>17</formula>
      <formula>25</formula>
    </cfRule>
  </conditionalFormatting>
  <dataValidations count="4">
    <dataValidation type="list" sqref="B31:B50" xr:uid="{00000000-0002-0000-0600-000000000000}">
      <formula1>"Mitigar,Evitar,Transferir,Aceptar"</formula1>
    </dataValidation>
    <dataValidation type="list" sqref="F31:F50" xr:uid="{00000000-0002-0000-0600-000001000000}">
      <formula1>"Propuesto,En ejecución,Implementado,Verificado"</formula1>
    </dataValidation>
    <dataValidation type="whole" sqref="H31:I50" xr:uid="{00000000-0002-0000-0600-000002000000}">
      <formula1>1</formula1>
      <formula2>5</formula2>
    </dataValidation>
    <dataValidation type="whole" sqref="E31:E50" xr:uid="{00000000-0002-0000-0600-000003000000}">
      <formula1>1</formula1>
      <formula2>365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Ejemplo de análisis</vt:lpstr>
      <vt:lpstr>Tablas AR</vt:lpstr>
      <vt:lpstr>Catálogo amenazas</vt:lpstr>
      <vt:lpstr>Activos</vt:lpstr>
      <vt:lpstr>Cruces Activo-Amenaza</vt:lpstr>
      <vt:lpstr>Análisis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JOSE RAFAEL DELGADO BASTIDAS</cp:lastModifiedBy>
  <dcterms:created xsi:type="dcterms:W3CDTF">2026-10-14T12:49:34Z</dcterms:created>
  <dcterms:modified xsi:type="dcterms:W3CDTF">2026-10-14T12:49:35Z</dcterms:modified>
</cp:coreProperties>
</file>