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culo" sheetId="1" state="visible" r:id="rId3"/>
    <sheet name="Escenario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<sst xmlns="http://schemas.openxmlformats.org/spreadsheetml/2006/main" count="41" uniqueCount="39">
  <si>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Hoja simplificada del Anexo 1 a partir de 12.5 KLOC (equivalencia del ejercicio resuelto: 125 PF x 100 lineas por PF)</t>
  </si>
  <si>
    <t xml:space="preserve">Parametro</t>
  </si>
  <si>
    <t xml:space="preserve">Valor</t>
  </si>
  <si>
    <t xml:space="preserve">Unidad</t>
  </si>
  <si>
    <t xml:space="preserve">Origen</t>
  </si>
  <si>
    <t xml:space="preserve">Tamano en miles de lineas KLOC</t>
  </si>
  <si>
    <t xml:space="preserve">KLOC</t>
  </si>
  <si>
    <t xml:space="preserve">125 PF x 100 lineas por PF del ejercicio resuelto</t>
  </si>
  <si>
    <t xml:space="preserve">Constante a de la hoja simplificada</t>
  </si>
  <si>
    <t xml:space="preserve">Dato del ejercicio resuelto</t>
  </si>
  <si>
    <t xml:space="preserve">Exponente b de la hoja simplificada</t>
  </si>
  <si>
    <t xml:space="preserve">Esfuerzo E = a x KLOC^b en persona mes</t>
  </si>
  <si>
    <t xml:space="preserve">persona mes</t>
  </si>
  <si>
    <t xml:space="preserve">Duracion D = 2.5 x E^0.38 en meses</t>
  </si>
  <si>
    <t xml:space="preserve">meses</t>
  </si>
  <si>
    <t xml:space="preserve">Tarifa mensual por persona en soles</t>
  </si>
  <si>
    <t xml:space="preserve">soles por mes</t>
  </si>
  <si>
    <t xml:space="preserve">Costo en soles = E x tarifa mensual</t>
  </si>
  <si>
    <t xml:space="preserve">soles</t>
  </si>
  <si>
    <t xml:space="preserve">Tamano funcional de referencia en PF</t>
  </si>
  <si>
    <t xml:space="preserve">PF</t>
  </si>
  <si>
    <t xml:space="preserve">Productividad implicita en PF por persona mes</t>
  </si>
  <si>
    <t xml:space="preserve">PF por persona mes</t>
  </si>
  <si>
    <t xml:space="preserve">Escenarios con 1 y 3 personas (plazo ideal E/n y cronograma del modelo)</t>
  </si>
  <si>
    <t xml:space="preserve">Escenario</t>
  </si>
  <si>
    <t xml:space="preserve">Esfuerzo E (persona mes)</t>
  </si>
  <si>
    <t xml:space="preserve">Plazo ideal E/n (meses)</t>
  </si>
  <si>
    <t xml:space="preserve">Cronograma del modelo D (meses)</t>
  </si>
  <si>
    <t xml:space="preserve">Costo (soles)</t>
  </si>
  <si>
    <t xml:space="preserve">1 persona a tiempo completo</t>
  </si>
  <si>
    <t xml:space="preserve">3 personas a tiempo completo</t>
  </si>
  <si>
    <t xml:space="preserve">Lectura: el plazo ideal divide el esfuerzo entre personas sin perdidas de coordinacion; el cronograma del modelo (2.5 x E^0.38) es independiente del equipo y vale 9.6 meses.</t>
  </si>
  <si>
    <t xml:space="preserve">Supuestos y verificacion</t>
  </si>
  <si>
    <t xml:space="preserve">El tamano de 12.5 KLOC proviene de 125 PF x 100 lineas por PF del ejercicio resuelto.</t>
  </si>
  <si>
    <t xml:space="preserve">Valores verificados: E = 2.4 x 12.5^1.05 = 34.0 persona mes y D = 2.5 x 34.0^0.38 = 9.6 meses.</t>
  </si>
  <si>
    <t xml:space="preserve">Costo verificado: 34.0 x S/ 1,500 = S/ 51,057 con la tarifa mensual del ejercicio resuelto.</t>
  </si>
  <si>
    <t xml:space="preserve">La tarifa mensual difiere de la tarifa por punto del calculo NESMA, por lo que los costos no son comparables directamente.</t>
  </si>
  <si>
    <t xml:space="preserve">Escenarios: con 1 persona el plazo ideal es 34.0 meses y con 3 personas es 11.3 meses; el costo no cambia porque el esfuerzo total es el mismo.</t>
  </si>
  <si>
    <t xml:space="preserve">Base de tamano: 125 PF x 100 lineas por PF (4GL del ejercicio resuelto). Difiere del backfiring Java (60) de la plantilla COCOMO II; cada cifra solo vale con su supuesto.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</si>
</sst>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&quot;S/ &quot;#,##0"/>
    <numFmt numFmtId="167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9" activeCellId="0" sqref="D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4" min="4" style="1" width="52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4" customFormat="false" ht="16.4" hidden="false" customHeight="false" outlineLevel="0" collapsed="false">
      <c r="A4" s="4" t="s">
        <v>1</v>
      </c>
      <c r="B4" s="5" t="s">
        <v>2</v>
      </c>
      <c r="C4" s="5" t="s">
        <v>3</v>
      </c>
      <c r="D4" s="4" t="s">
        <v>4</v>
      </c>
    </row>
    <row r="5" customFormat="false" ht="21.75" hidden="false" customHeight="true" outlineLevel="0" collapsed="false">
      <c r="A5" s="6" t="s">
        <v>5</v>
      </c>
      <c r="B5" s="7" t="n">
        <v>12.5</v>
      </c>
      <c r="C5" s="7" t="s">
        <v>6</v>
      </c>
      <c r="D5" s="6" t="s">
        <v>7</v>
      </c>
    </row>
    <row r="6" customFormat="false" ht="21.75" hidden="false" customHeight="true" outlineLevel="0" collapsed="false">
      <c r="A6" s="6" t="s">
        <v>8</v>
      </c>
      <c r="B6" s="7" t="n">
        <v>2.4</v>
      </c>
      <c r="C6" s="7"/>
      <c r="D6" s="6" t="s">
        <v>9</v>
      </c>
    </row>
    <row r="7" customFormat="false" ht="21.75" hidden="false" customHeight="true" outlineLevel="0" collapsed="false">
      <c r="A7" s="6" t="s">
        <v>10</v>
      </c>
      <c r="B7" s="7" t="n">
        <v>1.05</v>
      </c>
      <c r="C7" s="7"/>
      <c r="D7" s="6" t="s">
        <v>9</v>
      </c>
    </row>
    <row r="8" customFormat="false" ht="21.75" hidden="false" customHeight="true" outlineLevel="0" collapsed="false">
      <c r="A8" s="6" t="s">
        <v>11</v>
      </c>
      <c r="B8" s="8" t="n">
        <f aca="false">B6*POWER(B5,B7)</f>
        <v>34.0382132931607</v>
      </c>
      <c r="C8" s="7" t="s">
        <v>12</v>
      </c>
      <c r="D8" s="6" t="n">
        <f aca="false">B6*POWER(B5,B7)</f>
        <v>34.0382132931607</v>
      </c>
    </row>
    <row r="9" customFormat="false" ht="21.75" hidden="false" customHeight="true" outlineLevel="0" collapsed="false">
      <c r="A9" s="6" t="s">
        <v>13</v>
      </c>
      <c r="B9" s="8" t="n">
        <f aca="false">2.5*POWER(B8,0.38)</f>
        <v>9.55184740321793</v>
      </c>
      <c r="C9" s="7" t="s">
        <v>14</v>
      </c>
      <c r="D9" s="6" t="n">
        <f aca="false">2.5*POWER(B8,0.38)</f>
        <v>9.55184740321793</v>
      </c>
    </row>
    <row r="10" customFormat="false" ht="21.75" hidden="false" customHeight="true" outlineLevel="0" collapsed="false">
      <c r="A10" s="6" t="s">
        <v>15</v>
      </c>
      <c r="B10" s="7" t="n">
        <v>1500</v>
      </c>
      <c r="C10" s="7" t="s">
        <v>16</v>
      </c>
      <c r="D10" s="6" t="s">
        <v>9</v>
      </c>
    </row>
    <row r="11" customFormat="false" ht="21.75" hidden="false" customHeight="true" outlineLevel="0" collapsed="false">
      <c r="A11" s="6" t="s">
        <v>17</v>
      </c>
      <c r="B11" s="9" t="n">
        <f aca="false">B8*B10</f>
        <v>51057.319939741</v>
      </c>
      <c r="C11" s="7" t="s">
        <v>18</v>
      </c>
      <c r="D11" s="6" t="n">
        <f aca="false">B8*B10</f>
        <v>51057.319939741</v>
      </c>
    </row>
    <row r="12" customFormat="false" ht="21.75" hidden="false" customHeight="true" outlineLevel="0" collapsed="false">
      <c r="A12" s="6" t="s">
        <v>19</v>
      </c>
      <c r="B12" s="7" t="n">
        <v>125</v>
      </c>
      <c r="C12" s="7" t="s">
        <v>20</v>
      </c>
      <c r="D12" s="6"/>
    </row>
    <row r="13" customFormat="false" ht="21.75" hidden="false" customHeight="true" outlineLevel="0" collapsed="false">
      <c r="A13" s="6" t="s">
        <v>21</v>
      </c>
      <c r="B13" s="8" t="n">
        <f aca="false">B12/B8</f>
        <v>3.67234316688168</v>
      </c>
      <c r="C13" s="7" t="s">
        <v>22</v>
      </c>
      <c r="D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4"/>
    <col collapsed="false" customWidth="true" hidden="false" outlineLevel="0" max="4" min="4" style="1" width="26"/>
    <col collapsed="false" customWidth="true" hidden="false" outlineLevel="0" max="5" min="5" style="1" width="18"/>
  </cols>
  <sheetData>
    <row r="1" customFormat="false" ht="15" hidden="false" customHeight="false" outlineLevel="0" collapsed="false">
      <c r="A1" s="10" t="s">
        <v>23</v>
      </c>
    </row>
    <row r="3" customFormat="false" ht="31.3" hidden="false" customHeight="false" outlineLevel="0" collapsed="false">
      <c r="A3" s="4" t="s">
        <v>24</v>
      </c>
      <c r="B3" s="5" t="s">
        <v>25</v>
      </c>
      <c r="C3" s="5" t="s">
        <v>26</v>
      </c>
      <c r="D3" s="4" t="s">
        <v>27</v>
      </c>
      <c r="E3" s="5" t="s">
        <v>28</v>
      </c>
    </row>
    <row r="4" customFormat="false" ht="16.4" hidden="false" customHeight="false" outlineLevel="0" collapsed="false">
      <c r="A4" s="6" t="s">
        <v>29</v>
      </c>
      <c r="B4" s="8" t="n">
        <f aca="false">Calculo!B8</f>
        <v>34.0382132931607</v>
      </c>
      <c r="C4" s="8" t="n">
        <f aca="false">B4/1</f>
        <v>34.0382132931607</v>
      </c>
      <c r="D4" s="11" t="n">
        <f aca="false">Calculo!B9</f>
        <v>9.55184740321793</v>
      </c>
      <c r="E4" s="12" t="n">
        <f aca="false">Calculo!B11</f>
        <v>51057.319939741</v>
      </c>
    </row>
    <row r="5" customFormat="false" ht="16.4" hidden="false" customHeight="false" outlineLevel="0" collapsed="false">
      <c r="A5" s="6" t="s">
        <v>30</v>
      </c>
      <c r="B5" s="8" t="n">
        <f aca="false">Calculo!B8</f>
        <v>34.0382132931607</v>
      </c>
      <c r="C5" s="8" t="n">
        <f aca="false">B5/3</f>
        <v>11.3460710977202</v>
      </c>
      <c r="D5" s="11" t="n">
        <f aca="false">Calculo!B9</f>
        <v>9.55184740321793</v>
      </c>
      <c r="E5" s="12" t="n">
        <f aca="false">Calculo!B11</f>
        <v>51057.319939741</v>
      </c>
    </row>
    <row r="7" customFormat="false" ht="15" hidden="false" customHeight="false" outlineLevel="0" collapsed="false">
      <c r="A7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0"/>
  </cols>
  <sheetData>
    <row r="1" customFormat="false" ht="16.15" hidden="false" customHeight="false" outlineLevel="0" collapsed="false">
      <c r="A1" s="2" t="s">
        <v>32</v>
      </c>
    </row>
    <row r="3" customFormat="false" ht="30" hidden="false" customHeight="true" outlineLevel="0" collapsed="false">
      <c r="A3" s="1" t="s">
        <v>33</v>
      </c>
    </row>
    <row r="4" customFormat="false" ht="30" hidden="false" customHeight="true" outlineLevel="0" collapsed="false">
      <c r="A4" s="1" t="s">
        <v>34</v>
      </c>
    </row>
    <row r="5" customFormat="false" ht="30" hidden="false" customHeight="true" outlineLevel="0" collapsed="false">
      <c r="A5" s="1" t="s">
        <v>35</v>
      </c>
    </row>
    <row r="6" customFormat="false" ht="30" hidden="false" customHeight="true" outlineLevel="0" collapsed="false">
      <c r="A6" s="1" t="s">
        <v>36</v>
      </c>
    </row>
    <row r="7" customFormat="false" ht="15" hidden="false" customHeight="false" outlineLevel="0" collapsed="false">
      <c r="A7" s="1" t="s">
        <v>37</v>
      </c>
    </row>
    <row r="8" customFormat="false" ht="15" hidden="false" customHeight="false" outlineLevel="0" collapsed="false">
      <c r="A8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2026-09-28T14:01:02Z</dcterms:created>
  <dc:creator>openpyxl</dc:creator>
  <dc:description/>
  <dc:language>en-US</dc:language>
  <cp:lastModifiedBy/>
  <dcterms:modified xsi:type="dcterms:W3CDTF">2026-09-28T10:37:24Z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