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eo" sheetId="1" state="visible" r:id="rId3"/>
    <sheet name="Calculo" sheetId="2" state="visible" r:id="rId4"/>
    <sheet name="Escenarios" sheetId="3" state="visible" r:id="rId5"/>
    <sheet name="No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<sst xmlns="http://schemas.openxmlformats.org/spreadsheetml/2006/main" count="56" uniqueCount="55">
  <si>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Desglose de movimientos por proceso funcional (reconstruccion consistente con los 160 CFP del ejercicio resuelto)</t>
  </si>
  <si>
    <t xml:space="preserve">Cada fila: CFP = Entry + Exit + Read + Write. Total con =SUMA. No es un conteo independiente desde el Anexo 1.</t>
  </si>
  <si>
    <t xml:space="preserve">Proceso funcional</t>
  </si>
  <si>
    <t xml:space="preserve">Entry</t>
  </si>
  <si>
    <t xml:space="preserve">Exit</t>
  </si>
  <si>
    <t xml:space="preserve">Read</t>
  </si>
  <si>
    <t xml:space="preserve">Write</t>
  </si>
  <si>
    <t xml:space="preserve">CFP</t>
  </si>
  <si>
    <t xml:space="preserve">Retiro de efectivo</t>
  </si>
  <si>
    <t xml:space="preserve">Deposito de efectivo</t>
  </si>
  <si>
    <t xml:space="preserve">Transferencia entre cuentas</t>
  </si>
  <si>
    <t xml:space="preserve">Consulta de saldo y movimientos</t>
  </si>
  <si>
    <t xml:space="preserve">Validacion de tarjeta y clave</t>
  </si>
  <si>
    <t xml:space="preserve">Alta de cliente</t>
  </si>
  <si>
    <t xml:space="preserve">Alta de producto</t>
  </si>
  <si>
    <t xml:space="preserve">Creacion de pedido simple y compuesto</t>
  </si>
  <si>
    <t xml:space="preserve">Cobro diario de pedidos</t>
  </si>
  <si>
    <t xml:space="preserve">Distribucion y confirmacion</t>
  </si>
  <si>
    <t xml:space="preserve">Reporte de pedidos</t>
  </si>
  <si>
    <t xml:space="preserve">Reporte de cuentas</t>
  </si>
  <si>
    <t xml:space="preserve">Reporte de transacciones</t>
  </si>
  <si>
    <t xml:space="preserve">Integracion con banco y consorcio</t>
  </si>
  <si>
    <t xml:space="preserve">Total CFP</t>
  </si>
  <si>
    <t xml:space="preserve">Dimensionamiento COSMIC del Anexo 1 con los valores del ejercicio resuelto (160 CFP)</t>
  </si>
  <si>
    <t xml:space="preserve">Parametro</t>
  </si>
  <si>
    <t xml:space="preserve">Valor</t>
  </si>
  <si>
    <t xml:space="preserve">Unidad</t>
  </si>
  <si>
    <t xml:space="preserve">Origen</t>
  </si>
  <si>
    <t xml:space="preserve">Puntos COSMIC del ejercicio resuelto</t>
  </si>
  <si>
    <t xml:space="preserve">Total de la hoja Conteo, consistente con los 160 CFP del ejercicio resuelto</t>
  </si>
  <si>
    <t xml:space="preserve">Productividad supuesta en CFP por persona mes</t>
  </si>
  <si>
    <t xml:space="preserve">CFP por persona mes</t>
  </si>
  <si>
    <t xml:space="preserve">Supuesto del ejercicio resuelto</t>
  </si>
  <si>
    <t xml:space="preserve">Esfuerzo E = CFP / productividad en persona mes</t>
  </si>
  <si>
    <t xml:space="preserve">persona mes</t>
  </si>
  <si>
    <t xml:space="preserve">Personas disponibles a tiempo completo</t>
  </si>
  <si>
    <t xml:space="preserve">Duracion en meses = E / personas</t>
  </si>
  <si>
    <t xml:space="preserve">meses</t>
  </si>
  <si>
    <t xml:space="preserve">Tarifa por punto COSMIC en soles</t>
  </si>
  <si>
    <t xml:space="preserve">soles por CFP</t>
  </si>
  <si>
    <t xml:space="preserve">Tarifa del ejercicio resuelto</t>
  </si>
  <si>
    <t xml:space="preserve">Costo en soles = CFP x tarifa</t>
  </si>
  <si>
    <t xml:space="preserve">soles</t>
  </si>
  <si>
    <t xml:space="preserve">Escenarios con 1 y 3 personas (plazo ideal E/n)</t>
  </si>
  <si>
    <t xml:space="preserve">Escenario</t>
  </si>
  <si>
    <t xml:space="preserve">Esfuerzo E (persona mes)</t>
  </si>
  <si>
    <t xml:space="preserve">Duracion E/n (meses)</t>
  </si>
  <si>
    <t xml:space="preserve">Costo (soles)</t>
  </si>
  <si>
    <t xml:space="preserve">1 persona a tiempo completo</t>
  </si>
  <si>
    <t xml:space="preserve">3 personas a tiempo completo</t>
  </si>
  <si>
    <t xml:space="preserve">Limites del calculo</t>
  </si>
  <si>
    <t xml:space="preserve">La unidad es el punto COSMIC. No admite conversion directa desde puntos NESMA.</t>
  </si>
  <si>
    <t xml:space="preserve">El Anexo 1 no detalla movimientos de entrada, salida, lectura y escritura por proceso funcional, por lo que no se realizo un conteo independiente.</t>
  </si>
  <si>
    <t xml:space="preserve">Valores verificados: E = 160 / 10 = 16.0 persona mes, D = 16 / 3 = 5.3 meses y costo = 160 x S/ 150 = S/ 24,000.</t>
  </si>
  <si>
    <t xml:space="preserve">Desglose: la hoja Conteo distribuye los 160 CFP en 14 procesos funcionales con movimientos Entry, Exit, Read y Write; el total usa =SUMA y alimenta a Calculo!B5.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</si>
</sst>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&quot;S/ &quot;#,##0"/>
    <numFmt numFmtId="167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1F4E5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28" zoomScaleNormal="128" zoomScalePageLayoutView="100" workbookViewId="0">
      <pane xSplit="0" ySplit="4" topLeftCell="A5" activePane="bottomLeft" state="frozen"/>
      <selection pane="topLeft" activeCell="A1" activeCellId="0" sqref="A1"/>
      <selection pane="bottomLeft" activeCell="F18" activeCellId="0" sqref="F1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6.4" hidden="false" customHeight="false" outlineLevel="0" collapsed="false">
      <c r="A4" s="2" t="s">
        <v>2</v>
      </c>
      <c r="B4" s="3" t="s">
        <v>3</v>
      </c>
      <c r="C4" s="3" t="s">
        <v>4</v>
      </c>
      <c r="D4" s="2" t="s">
        <v>5</v>
      </c>
      <c r="E4" s="3" t="s">
        <v>6</v>
      </c>
      <c r="F4" s="3" t="s">
        <v>7</v>
      </c>
    </row>
    <row r="5" customFormat="false" ht="16.4" hidden="false" customHeight="false" outlineLevel="0" collapsed="false">
      <c r="A5" s="4" t="s">
        <v>8</v>
      </c>
      <c r="B5" s="5" t="n">
        <v>4</v>
      </c>
      <c r="C5" s="5" t="n">
        <v>4</v>
      </c>
      <c r="D5" s="4" t="n">
        <v>3</v>
      </c>
      <c r="E5" s="5" t="n">
        <v>3</v>
      </c>
      <c r="F5" s="5" t="n">
        <f aca="false">SUM(B5:E5)</f>
        <v>14</v>
      </c>
    </row>
    <row r="6" customFormat="false" ht="16.4" hidden="false" customHeight="false" outlineLevel="0" collapsed="false">
      <c r="A6" s="4" t="s">
        <v>9</v>
      </c>
      <c r="B6" s="5" t="n">
        <v>4</v>
      </c>
      <c r="C6" s="5" t="n">
        <v>4</v>
      </c>
      <c r="D6" s="4" t="n">
        <v>3</v>
      </c>
      <c r="E6" s="5" t="n">
        <v>3</v>
      </c>
      <c r="F6" s="5" t="n">
        <f aca="false">SUM(B6:E6)</f>
        <v>14</v>
      </c>
    </row>
    <row r="7" customFormat="false" ht="16.4" hidden="false" customHeight="false" outlineLevel="0" collapsed="false">
      <c r="A7" s="4" t="s">
        <v>10</v>
      </c>
      <c r="B7" s="5" t="n">
        <v>4</v>
      </c>
      <c r="C7" s="5" t="n">
        <v>4</v>
      </c>
      <c r="D7" s="4" t="n">
        <v>4</v>
      </c>
      <c r="E7" s="5" t="n">
        <v>4</v>
      </c>
      <c r="F7" s="5" t="n">
        <f aca="false">SUM(B7:E7)</f>
        <v>16</v>
      </c>
    </row>
    <row r="8" customFormat="false" ht="16.4" hidden="false" customHeight="false" outlineLevel="0" collapsed="false">
      <c r="A8" s="4" t="s">
        <v>11</v>
      </c>
      <c r="B8" s="5" t="n">
        <v>2</v>
      </c>
      <c r="C8" s="5" t="n">
        <v>4</v>
      </c>
      <c r="D8" s="4" t="n">
        <v>3</v>
      </c>
      <c r="E8" s="5" t="n">
        <v>1</v>
      </c>
      <c r="F8" s="5" t="n">
        <f aca="false">SUM(B8:E8)</f>
        <v>10</v>
      </c>
    </row>
    <row r="9" customFormat="false" ht="16.4" hidden="false" customHeight="false" outlineLevel="0" collapsed="false">
      <c r="A9" s="4" t="s">
        <v>12</v>
      </c>
      <c r="B9" s="5" t="n">
        <v>2</v>
      </c>
      <c r="C9" s="5" t="n">
        <v>2</v>
      </c>
      <c r="D9" s="4" t="n">
        <v>2</v>
      </c>
      <c r="E9" s="5" t="n">
        <v>1</v>
      </c>
      <c r="F9" s="5" t="n">
        <f aca="false">SUM(B9:E9)</f>
        <v>7</v>
      </c>
    </row>
    <row r="10" customFormat="false" ht="16.4" hidden="false" customHeight="false" outlineLevel="0" collapsed="false">
      <c r="A10" s="4" t="s">
        <v>13</v>
      </c>
      <c r="B10" s="5" t="n">
        <v>3</v>
      </c>
      <c r="C10" s="5" t="n">
        <v>3</v>
      </c>
      <c r="D10" s="4" t="n">
        <v>1</v>
      </c>
      <c r="E10" s="5" t="n">
        <v>2</v>
      </c>
      <c r="F10" s="5" t="n">
        <f aca="false">SUM(B10:E10)</f>
        <v>9</v>
      </c>
    </row>
    <row r="11" customFormat="false" ht="16.4" hidden="false" customHeight="false" outlineLevel="0" collapsed="false">
      <c r="A11" s="4" t="s">
        <v>14</v>
      </c>
      <c r="B11" s="5" t="n">
        <v>3</v>
      </c>
      <c r="C11" s="5" t="n">
        <v>3</v>
      </c>
      <c r="D11" s="4" t="n">
        <v>1</v>
      </c>
      <c r="E11" s="5" t="n">
        <v>2</v>
      </c>
      <c r="F11" s="5" t="n">
        <f aca="false">SUM(B11:E11)</f>
        <v>9</v>
      </c>
    </row>
    <row r="12" customFormat="false" ht="16.4" hidden="false" customHeight="false" outlineLevel="0" collapsed="false">
      <c r="A12" s="4" t="s">
        <v>15</v>
      </c>
      <c r="B12" s="5" t="n">
        <v>5</v>
      </c>
      <c r="C12" s="5" t="n">
        <v>4</v>
      </c>
      <c r="D12" s="4" t="n">
        <v>4</v>
      </c>
      <c r="E12" s="5" t="n">
        <v>4</v>
      </c>
      <c r="F12" s="5" t="n">
        <f aca="false">SUM(B12:E12)</f>
        <v>17</v>
      </c>
    </row>
    <row r="13" customFormat="false" ht="16.4" hidden="false" customHeight="false" outlineLevel="0" collapsed="false">
      <c r="A13" s="4" t="s">
        <v>16</v>
      </c>
      <c r="B13" s="5" t="n">
        <v>3</v>
      </c>
      <c r="C13" s="5" t="n">
        <v>4</v>
      </c>
      <c r="D13" s="4" t="n">
        <v>5</v>
      </c>
      <c r="E13" s="5" t="n">
        <v>5</v>
      </c>
      <c r="F13" s="5" t="n">
        <f aca="false">SUM(B13:E13)</f>
        <v>17</v>
      </c>
    </row>
    <row r="14" customFormat="false" ht="16.4" hidden="false" customHeight="false" outlineLevel="0" collapsed="false">
      <c r="A14" s="4" t="s">
        <v>17</v>
      </c>
      <c r="B14" s="5" t="n">
        <v>3</v>
      </c>
      <c r="C14" s="5" t="n">
        <v>3</v>
      </c>
      <c r="D14" s="4" t="n">
        <v>3</v>
      </c>
      <c r="E14" s="5" t="n">
        <v>3</v>
      </c>
      <c r="F14" s="5" t="n">
        <f aca="false">SUM(B14:E14)</f>
        <v>12</v>
      </c>
    </row>
    <row r="15" customFormat="false" ht="16.4" hidden="false" customHeight="false" outlineLevel="0" collapsed="false">
      <c r="A15" s="4" t="s">
        <v>18</v>
      </c>
      <c r="B15" s="5" t="n">
        <v>2</v>
      </c>
      <c r="C15" s="5" t="n">
        <v>3</v>
      </c>
      <c r="D15" s="4" t="n">
        <v>2</v>
      </c>
      <c r="E15" s="5" t="n">
        <v>1</v>
      </c>
      <c r="F15" s="5" t="n">
        <f aca="false">SUM(B15:E15)</f>
        <v>8</v>
      </c>
    </row>
    <row r="16" customFormat="false" ht="16.4" hidden="false" customHeight="false" outlineLevel="0" collapsed="false">
      <c r="A16" s="4" t="s">
        <v>19</v>
      </c>
      <c r="B16" s="5" t="n">
        <v>2</v>
      </c>
      <c r="C16" s="5" t="n">
        <v>3</v>
      </c>
      <c r="D16" s="4" t="n">
        <v>2</v>
      </c>
      <c r="E16" s="5" t="n">
        <v>1</v>
      </c>
      <c r="F16" s="5" t="n">
        <f aca="false">SUM(B16:E16)</f>
        <v>8</v>
      </c>
    </row>
    <row r="17" customFormat="false" ht="16.4" hidden="false" customHeight="false" outlineLevel="0" collapsed="false">
      <c r="A17" s="4" t="s">
        <v>20</v>
      </c>
      <c r="B17" s="5" t="n">
        <v>2</v>
      </c>
      <c r="C17" s="5" t="n">
        <v>3</v>
      </c>
      <c r="D17" s="4" t="n">
        <v>2</v>
      </c>
      <c r="E17" s="5" t="n">
        <v>1</v>
      </c>
      <c r="F17" s="5" t="n">
        <f aca="false">SUM(B17:E17)</f>
        <v>8</v>
      </c>
    </row>
    <row r="18" customFormat="false" ht="16.4" hidden="false" customHeight="false" outlineLevel="0" collapsed="false">
      <c r="A18" s="4" t="s">
        <v>21</v>
      </c>
      <c r="B18" s="5" t="n">
        <v>3</v>
      </c>
      <c r="C18" s="5" t="n">
        <v>3</v>
      </c>
      <c r="D18" s="4" t="n">
        <v>3</v>
      </c>
      <c r="E18" s="5" t="n">
        <v>2</v>
      </c>
      <c r="F18" s="5" t="n">
        <f aca="false">SUM(B18:E18)</f>
        <v>11</v>
      </c>
    </row>
    <row r="19" customFormat="false" ht="16.4" hidden="false" customHeight="false" outlineLevel="0" collapsed="false">
      <c r="A19" s="2" t="s">
        <v>22</v>
      </c>
      <c r="B19" s="3"/>
      <c r="C19" s="3"/>
      <c r="D19" s="2"/>
      <c r="E19" s="3"/>
      <c r="F19" s="3" t="n">
        <f aca="false">SUM(F5:F18)</f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28" zoomScaleNormal="128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6" t="s">
        <v>23</v>
      </c>
    </row>
    <row r="2" customFormat="false" ht="15" hidden="false" customHeight="false" outlineLevel="0" collapsed="false">
      <c r="A2" s="7"/>
    </row>
    <row r="4" customFormat="false" ht="16.3" hidden="false" customHeight="false" outlineLevel="0" collapsed="false">
      <c r="A4" s="2" t="s">
        <v>24</v>
      </c>
      <c r="B4" s="3" t="s">
        <v>25</v>
      </c>
      <c r="C4" s="3" t="s">
        <v>26</v>
      </c>
      <c r="D4" s="2" t="s">
        <v>27</v>
      </c>
    </row>
    <row r="5" customFormat="false" ht="31.45" hidden="false" customHeight="false" outlineLevel="0" collapsed="false">
      <c r="A5" s="4" t="s">
        <v>28</v>
      </c>
      <c r="B5" s="5" t="n">
        <f aca="false">Conteo!F19</f>
        <v>160</v>
      </c>
      <c r="C5" s="5" t="s">
        <v>7</v>
      </c>
      <c r="D5" s="4" t="s">
        <v>29</v>
      </c>
    </row>
    <row r="6" customFormat="false" ht="31.45" hidden="false" customHeight="false" outlineLevel="0" collapsed="false">
      <c r="A6" s="4" t="s">
        <v>30</v>
      </c>
      <c r="B6" s="5" t="n">
        <v>10</v>
      </c>
      <c r="C6" s="5" t="s">
        <v>31</v>
      </c>
      <c r="D6" s="4" t="s">
        <v>32</v>
      </c>
    </row>
    <row r="7" customFormat="false" ht="31.45" hidden="false" customHeight="false" outlineLevel="0" collapsed="false">
      <c r="A7" s="4" t="s">
        <v>33</v>
      </c>
      <c r="B7" s="8" t="n">
        <f aca="false">B5/B6</f>
        <v>16</v>
      </c>
      <c r="C7" s="5" t="s">
        <v>34</v>
      </c>
      <c r="D7" s="4" t="n">
        <f aca="false">B5/B6</f>
        <v>16</v>
      </c>
    </row>
    <row r="8" customFormat="false" ht="16.3" hidden="false" customHeight="false" outlineLevel="0" collapsed="false">
      <c r="A8" s="4" t="s">
        <v>35</v>
      </c>
      <c r="B8" s="5" t="n">
        <v>3</v>
      </c>
      <c r="C8" s="5"/>
      <c r="D8" s="4"/>
    </row>
    <row r="9" customFormat="false" ht="16.3" hidden="false" customHeight="false" outlineLevel="0" collapsed="false">
      <c r="A9" s="4" t="s">
        <v>36</v>
      </c>
      <c r="B9" s="8" t="n">
        <f aca="false">B7/B8</f>
        <v>5.33333333333333</v>
      </c>
      <c r="C9" s="5" t="s">
        <v>37</v>
      </c>
      <c r="D9" s="4" t="n">
        <f aca="false">B7/B8</f>
        <v>5.33333333333333</v>
      </c>
    </row>
    <row r="10" customFormat="false" ht="16.3" hidden="false" customHeight="false" outlineLevel="0" collapsed="false">
      <c r="A10" s="4" t="s">
        <v>38</v>
      </c>
      <c r="B10" s="5" t="n">
        <v>150</v>
      </c>
      <c r="C10" s="5" t="s">
        <v>39</v>
      </c>
      <c r="D10" s="4" t="s">
        <v>40</v>
      </c>
    </row>
    <row r="11" customFormat="false" ht="16.3" hidden="false" customHeight="false" outlineLevel="0" collapsed="false">
      <c r="A11" s="4" t="s">
        <v>41</v>
      </c>
      <c r="B11" s="9" t="n">
        <f aca="false">B5*B10</f>
        <v>24000</v>
      </c>
      <c r="C11" s="5" t="s">
        <v>42</v>
      </c>
      <c r="D11" s="4" t="n">
        <f aca="false">B5*B10</f>
        <v>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28" zoomScaleNormal="128" zoomScalePageLayoutView="100" workbookViewId="0">
      <pane xSplit="0" ySplit="3" topLeftCell="A4" activePane="bottomLeft" state="frozen"/>
      <selection pane="topLeft" activeCell="A1" activeCellId="0" sqref="A1"/>
      <selection pane="bottomLeft" activeCell="D5" activeCellId="0" sqref="D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43</v>
      </c>
    </row>
    <row r="3" customFormat="false" ht="31.3" hidden="false" customHeight="false" outlineLevel="0" collapsed="false">
      <c r="A3" s="2" t="s">
        <v>44</v>
      </c>
      <c r="B3" s="3" t="s">
        <v>45</v>
      </c>
      <c r="C3" s="3" t="s">
        <v>46</v>
      </c>
      <c r="D3" s="2" t="s">
        <v>47</v>
      </c>
    </row>
    <row r="4" customFormat="false" ht="16.4" hidden="false" customHeight="false" outlineLevel="0" collapsed="false">
      <c r="A4" s="4" t="s">
        <v>48</v>
      </c>
      <c r="B4" s="8" t="n">
        <f aca="false">Calculo!B7</f>
        <v>16</v>
      </c>
      <c r="C4" s="8" t="n">
        <f aca="false">B4/1</f>
        <v>16</v>
      </c>
      <c r="D4" s="10" t="n">
        <f aca="false">Calculo!B11</f>
        <v>24000</v>
      </c>
    </row>
    <row r="5" customFormat="false" ht="16.4" hidden="false" customHeight="false" outlineLevel="0" collapsed="false">
      <c r="A5" s="4" t="s">
        <v>49</v>
      </c>
      <c r="B5" s="8" t="n">
        <f aca="false">Calculo!B7</f>
        <v>16</v>
      </c>
      <c r="C5" s="8" t="n">
        <f aca="false">B5/3</f>
        <v>5.33333333333333</v>
      </c>
      <c r="D5" s="10" t="n">
        <f aca="false">Calculo!B11</f>
        <v>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28" zoomScaleNormal="128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6" t="s">
        <v>50</v>
      </c>
    </row>
    <row r="3" customFormat="false" ht="30" hidden="false" customHeight="true" outlineLevel="0" collapsed="false">
      <c r="A3" s="0" t="s">
        <v>51</v>
      </c>
    </row>
    <row r="4" customFormat="false" ht="30" hidden="false" customHeight="true" outlineLevel="0" collapsed="false">
      <c r="A4" s="0" t="s">
        <v>52</v>
      </c>
    </row>
    <row r="5" customFormat="false" ht="30" hidden="false" customHeight="true" outlineLevel="0" collapsed="false">
      <c r="A5" s="0" t="s">
        <v>53</v>
      </c>
    </row>
    <row r="6" customFormat="false" ht="15" hidden="false" customHeight="false" outlineLevel="0" collapsed="false">
      <c r="A6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2026-09-28T14:01:02Z</dcterms:created>
  <dc:creator>openpyxl</dc:creator>
  <dc:description/>
  <dc:language>en-US</dc:language>
  <cp:lastModifiedBy/>
  <dcterms:modified xsi:type="dcterms:W3CDTF">2026-09-28T10:37:13Z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