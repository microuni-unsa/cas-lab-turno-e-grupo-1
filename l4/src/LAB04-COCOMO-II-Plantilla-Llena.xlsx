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1" activeTab="1" autoFilterDateGrouping="1"/>
  </bookViews>
  <sheets>
    <sheet name="FP Units" sheetId="1" state="hidden" r:id="rId1"/>
    <sheet name="Tittle" sheetId="2" state="visible" r:id="rId2"/>
    <sheet name="Introduction" sheetId="3" state="visible" r:id="rId3"/>
    <sheet name="FPs" sheetId="4" state="visible" r:id="rId4"/>
    <sheet name="SLOC" sheetId="5" state="visible" r:id="rId5"/>
    <sheet name="Backfiring" sheetId="6" state="hidden" r:id="rId6"/>
    <sheet name="Effort" sheetId="7" state="visible" r:id="rId7"/>
    <sheet name="Effort Distribution" sheetId="8" state="visible" r:id="rId8"/>
    <sheet name="Effort Summary" sheetId="9" state="visible" r:id="rId9"/>
    <sheet name="Cost" sheetId="10" state="visible" r:id="rId10"/>
    <sheet name="Plan 1" sheetId="11" state="visible" r:id="rId11"/>
    <sheet name="Plan 2" sheetId="12" state="visible" r:id="rId12"/>
  </sheets>
  <externalReferences>
    <externalReference r:id="rId13"/>
  </externalReferences>
  <definedNames>
    <definedName name="buyingorientation" hidden="0" function="0" vbProcedure="0">#REF!</definedName>
    <definedName name="customertpe" hidden="0" function="0" vbProcedure="0">#REF!</definedName>
    <definedName name="customertype" hidden="0" function="0" vbProcedure="0">#REF!</definedName>
    <definedName name="domain" hidden="0" function="0" vbProcedure="0">#REF!</definedName>
    <definedName name="EF" hidden="0" function="0" vbProcedure="0">#REF!</definedName>
    <definedName name="EMSCALE" hidden="0" function="0" vbProcedure="0">Effort!$B$50:$B$56</definedName>
    <definedName name="hoursavailability" hidden="0" function="0" vbProcedure="0">#REF!</definedName>
    <definedName name="language" hidden="0" function="0" vbProcedure="0">Backfiring!$A$2:$A$10</definedName>
    <definedName name="lifetime" hidden="0" function="0" vbProcedure="0">#REF!</definedName>
    <definedName name="payment" hidden="0" function="0" vbProcedure="0">#REF!</definedName>
    <definedName name="scopecreep" hidden="0" function="0" vbProcedure="0">#REF!</definedName>
    <definedName name="SFSCALE" hidden="0" function="0" vbProcedure="0">Effort!$B$42:$B$47</definedName>
    <definedName name="TAW" hidden="0" function="0" vbProcedure="0">#REF!</definedName>
    <definedName name="TBF" hidden="0" function="0" vbProcedure="0">#REF!</definedName>
    <definedName name="technology" hidden="0" function="0" vbProcedure="0">#REF!</definedName>
    <definedName name="UUCP" hidden="0" function="0" vbProcedure="0">#REF!</definedName>
    <definedName name="lifetime" localSheetId="1" hidden="0" function="0" vbProcedure="0">#REF!</definedName>
  </definedNames>
  <calcPr calcId="124519" fullCalcOnLoad="1" refMode="A1" iterate="0" iterateCount="100" iterateDelta="0.001"/>
</workbook>
</file>

<file path=xl/styles.xml><?xml version="1.0" encoding="utf-8"?>
<styleSheet xmlns="http://schemas.openxmlformats.org/spreadsheetml/2006/main">
  <numFmts count="6">
    <numFmt numFmtId="164" formatCode="[$-409]d\-mmm\-yyyy;@"/>
    <numFmt numFmtId="165" formatCode="0.0000"/>
    <numFmt numFmtId="166" formatCode="0.0%"/>
    <numFmt numFmtId="167" formatCode="0.0"/>
    <numFmt numFmtId="168" formatCode="\$#,##0.00"/>
    <numFmt numFmtId="169" formatCode="\$#,##0"/>
  </numFmts>
  <fonts count="26">
    <font>
      <name val="Arial"/>
      <family val="0"/>
      <sz val="10"/>
    </font>
    <font>
      <name val="Arial"/>
      <family val="0"/>
      <sz val="10"/>
    </font>
    <font>
      <name val="Arial"/>
      <family val="0"/>
      <sz val="10"/>
    </font>
    <font>
      <name val="Arial"/>
      <family val="0"/>
      <sz val="10"/>
    </font>
    <font>
      <name val="Arial"/>
      <family val="2"/>
      <b val="1"/>
      <i val="1"/>
      <sz val="12"/>
    </font>
    <font>
      <name val="Arial"/>
      <family val="2"/>
      <b val="1"/>
      <sz val="10"/>
    </font>
    <font>
      <name val="Verdana"/>
      <family val="2"/>
      <b val="1"/>
      <sz val="8"/>
    </font>
    <font>
      <name val="Verdana"/>
      <family val="2"/>
      <sz val="8"/>
    </font>
    <font>
      <name val="Arial"/>
      <family val="2"/>
      <b val="1"/>
      <sz val="20"/>
    </font>
    <font>
      <name val="Arial"/>
      <family val="2"/>
      <b val="1"/>
      <color rgb="FFFFFFFF"/>
      <sz val="10"/>
    </font>
    <font>
      <name val="Arial"/>
      <family val="0"/>
      <color rgb="FF000000"/>
      <sz val="10"/>
    </font>
    <font>
      <name val="Arial"/>
      <family val="0"/>
      <color rgb="FF000080"/>
      <sz val="11"/>
    </font>
    <font>
      <name val="Arial"/>
      <family val="0"/>
      <color rgb="FF000000"/>
      <sz val="11"/>
    </font>
    <font>
      <name val="Arial"/>
      <family val="2"/>
      <sz val="10"/>
    </font>
    <font>
      <name val="Arial"/>
      <family val="2"/>
      <b val="1"/>
      <i val="1"/>
      <sz val="10"/>
    </font>
    <font>
      <name val="Courier New"/>
      <family val="3"/>
      <b val="1"/>
      <color rgb="FF000000"/>
      <sz val="10"/>
    </font>
    <font>
      <name val="Courier New"/>
      <family val="3"/>
      <color rgb="FF000000"/>
      <sz val="10"/>
    </font>
    <font>
      <name val="Arial"/>
      <family val="2"/>
      <i val="1"/>
      <sz val="10"/>
    </font>
    <font>
      <name val="Arial"/>
      <family val="0"/>
      <color rgb="FF0000FF"/>
      <sz val="10"/>
      <u val="single"/>
    </font>
    <font>
      <name val="Arial"/>
      <family val="2"/>
      <color rgb="FF000000"/>
      <sz val="10"/>
    </font>
    <font>
      <name val="Tahoma"/>
      <family val="0"/>
      <b val="1"/>
      <color rgb="FF000000"/>
      <sz val="8"/>
    </font>
    <font>
      <name val="Tahoma"/>
      <family val="2"/>
      <color rgb="FF000000"/>
      <sz val="8"/>
    </font>
    <font>
      <name val="Tahoma"/>
      <family val="2"/>
      <b val="1"/>
      <color rgb="FF000000"/>
      <sz val="8"/>
    </font>
    <font>
      <name val="Tahoma"/>
      <family val="0"/>
      <color rgb="FF000000"/>
      <sz val="8"/>
    </font>
    <font>
      <name val="Arial"/>
      <family val="2"/>
      <b val="1"/>
      <color rgb="FF993300"/>
      <sz val="10"/>
    </font>
    <font>
      <name val="Times New Roman"/>
      <family val="1"/>
      <sz val="10"/>
    </font>
  </fonts>
  <fills count="9">
    <fill>
      <patternFill/>
    </fill>
    <fill>
      <patternFill patternType="gray125"/>
    </fill>
    <fill>
      <patternFill patternType="solid">
        <fgColor rgb="FF99CCFF"/>
        <bgColor rgb="FFCCCCFF"/>
      </patternFill>
    </fill>
    <fill>
      <patternFill patternType="solid">
        <fgColor rgb="FFCCFFFF"/>
        <bgColor rgb="FFCCFFFF"/>
      </patternFill>
    </fill>
    <fill>
      <patternFill patternType="solid">
        <fgColor rgb="FFFFFFFF"/>
        <bgColor rgb="FFFFFFCC"/>
      </patternFill>
    </fill>
    <fill>
      <patternFill patternType="solid">
        <fgColor rgb="FFC0C0C0"/>
        <bgColor rgb="FFCCCCFF"/>
      </patternFill>
    </fill>
    <fill>
      <patternFill patternType="solid">
        <fgColor rgb="FF008080"/>
        <bgColor rgb="FF008080"/>
      </patternFill>
    </fill>
    <fill>
      <patternFill patternType="solid">
        <fgColor rgb="FFFFCC99"/>
        <bgColor rgb="FFC0C0C0"/>
      </patternFill>
    </fill>
    <fill>
      <patternFill patternType="solid">
        <fgColor rgb="FFFFFF99"/>
        <bgColor rgb="FFFFFFCC"/>
      </patternFill>
    </fill>
  </fills>
  <borders count="49">
    <border>
      <left/>
      <right/>
      <top/>
      <bottom/>
      <diagonal/>
    </border>
    <border>
      <left style="thin"/>
      <right style="thin"/>
      <top style="thin"/>
      <bottom style="thin"/>
      <diagonal/>
    </border>
    <border>
      <left style="medium"/>
      <right style="medium"/>
      <top style="medium"/>
      <bottom style="medium"/>
      <diagonal/>
    </border>
    <border>
      <left style="medium"/>
      <right style="thin"/>
      <top/>
      <bottom style="thin"/>
      <diagonal/>
    </border>
    <border>
      <left style="thin"/>
      <right style="thin"/>
      <top/>
      <bottom style="thin"/>
      <diagonal/>
    </border>
    <border>
      <left style="thin"/>
      <right style="thin"/>
      <top style="medium"/>
      <bottom style="thin"/>
      <diagonal/>
    </border>
    <border>
      <left style="thin"/>
      <right style="medium"/>
      <top/>
      <bottom style="thin"/>
      <diagonal/>
    </border>
    <border>
      <left style="medium"/>
      <right style="thin"/>
      <top style="thin"/>
      <bottom style="thin"/>
      <diagonal/>
    </border>
    <border>
      <left style="thin"/>
      <right style="medium"/>
      <top style="thin"/>
      <bottom style="thin"/>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style="medium"/>
      <right style="thin"/>
      <top style="medium"/>
      <bottom style="thin"/>
      <diagonal/>
    </border>
    <border>
      <left style="thin"/>
      <right style="medium"/>
      <top style="medium"/>
      <bottom style="thin"/>
      <diagonal/>
    </border>
    <border>
      <left style="thin"/>
      <right/>
      <top style="thin"/>
      <bottom style="thin"/>
      <diagonal/>
    </border>
    <border>
      <left style="thin"/>
      <right/>
      <top style="thin"/>
      <bottom style="medium"/>
      <diagonal/>
    </border>
    <border>
      <left style="medium"/>
      <right style="medium"/>
      <top style="medium"/>
      <bottom/>
      <diagonal/>
    </border>
    <border>
      <left style="medium"/>
      <right style="medium"/>
      <top style="medium"/>
      <bottom style="thin"/>
      <diagonal/>
    </border>
    <border>
      <left style="medium"/>
      <right style="medium"/>
      <top style="thin"/>
      <bottom style="thin"/>
      <diagonal/>
    </border>
    <border>
      <left style="medium"/>
      <right style="medium"/>
      <top style="thin"/>
      <bottom style="medium"/>
      <diagonal/>
    </border>
    <border>
      <left style="thin"/>
      <right style="thin"/>
      <top style="thin"/>
      <bottom/>
      <diagonal/>
    </border>
    <border>
      <left/>
      <right style="thin"/>
      <top style="thin"/>
      <bottom style="thin"/>
      <diagonal/>
    </border>
    <border>
      <left style="thin"/>
      <right/>
      <top/>
      <bottom/>
      <diagonal/>
    </border>
    <border>
      <left style="thin"/>
      <right style="thin"/>
      <top/>
      <bottom/>
      <diagonal/>
    </border>
    <border>
      <left/>
      <right/>
      <top style="medium"/>
      <bottom/>
      <diagonal/>
    </border>
    <border>
      <left/>
      <right style="medium"/>
      <top style="medium"/>
      <bottom/>
      <diagonal/>
    </border>
    <border>
      <left/>
      <right/>
      <top style="medium"/>
      <bottom style="medium"/>
      <diagonal/>
    </border>
    <border>
      <left/>
      <right style="medium"/>
      <top style="medium"/>
      <bottom style="medium"/>
      <diagonal/>
    </border>
    <border>
      <left style="medium"/>
      <right/>
      <top/>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
      <left/>
      <right style="thin"/>
      <top/>
      <bottom/>
      <diagonal/>
    </border>
    <border>
      <left/>
      <right/>
      <top/>
      <bottom style="thin"/>
      <diagonal/>
    </border>
    <border>
      <left/>
      <right style="thin"/>
      <top/>
      <bottom style="thin"/>
      <diagonal/>
    </border>
    <border>
      <left/>
      <right style="thin"/>
      <top style="medium"/>
      <bottom/>
      <diagonal/>
    </border>
    <border>
      <left/>
      <right style="thin"/>
      <top style="medium"/>
      <bottom style="thin"/>
      <diagonal/>
    </border>
    <border>
      <left/>
      <right style="medium"/>
      <top/>
      <bottom style="thin"/>
      <diagonal/>
    </border>
    <border>
      <left/>
      <right/>
      <top style="thin"/>
      <bottom/>
      <diagonal/>
    </border>
    <border>
      <left/>
      <right style="thin"/>
      <top style="thin"/>
      <bottom/>
      <diagonal/>
    </border>
    <border>
      <left/>
      <right/>
      <top style="thin"/>
      <bottom style="thin"/>
      <diagonal/>
    </border>
    <border>
      <left/>
      <right style="medium"/>
      <top style="thin"/>
      <bottom/>
      <diagonal/>
    </border>
    <border>
      <left/>
      <right style="medium"/>
      <top style="thin"/>
      <bottom style="thin"/>
      <diagonal/>
    </border>
    <border>
      <left/>
      <right/>
      <top style="thin"/>
      <bottom style="medium"/>
      <diagonal/>
    </border>
    <border>
      <left/>
      <right style="thin"/>
      <top style="thin"/>
      <bottom style="medium"/>
      <diagonal/>
    </border>
    <border>
      <left/>
      <right style="medium"/>
      <top style="thin"/>
      <bottom style="medium"/>
      <diagonal/>
    </border>
    <border>
      <left/>
      <right style="medium"/>
      <top style="medium"/>
      <bottom style="thin"/>
      <diagonal/>
    </border>
    <border>
      <left/>
      <right/>
      <top style="medium"/>
      <bottom style="thin"/>
      <diagonal/>
    </border>
  </borders>
  <cellStyleXfs count="7">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18" fillId="0" borderId="0"/>
  </cellStyleXfs>
  <cellXfs count="25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general" vertical="bottom"/>
    </xf>
    <xf numFmtId="0" fontId="5" fillId="2" borderId="1" applyAlignment="1" pivotButton="0" quotePrefix="0" xfId="0">
      <alignment horizontal="general" vertical="bottom" wrapText="1"/>
    </xf>
    <xf numFmtId="0" fontId="0" fillId="2" borderId="1" applyAlignment="1" pivotButton="0" quotePrefix="0" xfId="0">
      <alignment horizontal="general" vertical="top"/>
    </xf>
    <xf numFmtId="0" fontId="0" fillId="2" borderId="1" applyAlignment="1" pivotButton="0" quotePrefix="0" xfId="0">
      <alignment horizontal="general" vertical="bottom"/>
    </xf>
    <xf numFmtId="0" fontId="0" fillId="3" borderId="1"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top"/>
    </xf>
    <xf numFmtId="0" fontId="0" fillId="0" borderId="0" applyAlignment="1" pivotButton="0" quotePrefix="0" xfId="0">
      <alignment horizontal="general" vertical="bottom"/>
    </xf>
    <xf numFmtId="0" fontId="6" fillId="4" borderId="2" applyAlignment="1" pivotButton="0" quotePrefix="0" xfId="0">
      <alignment horizontal="right" vertical="top" wrapText="1"/>
    </xf>
    <xf numFmtId="0" fontId="7" fillId="0" borderId="0" applyAlignment="1" pivotButton="0" quotePrefix="0" xfId="0">
      <alignment horizontal="justify" vertical="bottom"/>
    </xf>
    <xf numFmtId="0" fontId="8" fillId="5" borderId="2" applyAlignment="1" pivotButton="0" quotePrefix="0" xfId="0">
      <alignment horizontal="center" vertical="center"/>
    </xf>
    <xf numFmtId="0" fontId="9" fillId="6" borderId="2" applyAlignment="1" pivotButton="0" quotePrefix="0" xfId="0">
      <alignment horizontal="left" vertical="bottom" wrapText="1"/>
    </xf>
    <xf numFmtId="0" fontId="5" fillId="2" borderId="3" applyAlignment="1" pivotButton="0" quotePrefix="0" xfId="0">
      <alignment horizontal="general" vertical="bottom" wrapText="1"/>
    </xf>
    <xf numFmtId="0" fontId="0" fillId="0" borderId="4" applyAlignment="1" pivotButton="0" quotePrefix="0" xfId="0">
      <alignment horizontal="left" vertical="bottom" wrapText="1"/>
    </xf>
    <xf numFmtId="0" fontId="5" fillId="2" borderId="5" applyAlignment="1" pivotButton="0" quotePrefix="0" xfId="0">
      <alignment horizontal="general" vertical="bottom" wrapText="1"/>
    </xf>
    <xf numFmtId="0" fontId="0" fillId="0" borderId="6" applyAlignment="1" pivotButton="0" quotePrefix="0" xfId="0">
      <alignment horizontal="left" vertical="bottom" wrapText="1"/>
    </xf>
    <xf numFmtId="0" fontId="5" fillId="2" borderId="7" applyAlignment="1" pivotButton="0" quotePrefix="0" xfId="0">
      <alignment horizontal="general" vertical="bottom" wrapText="1"/>
    </xf>
    <xf numFmtId="0" fontId="0" fillId="0" borderId="1" applyAlignment="1" pivotButton="0" quotePrefix="0" xfId="0">
      <alignment horizontal="left" vertical="bottom" wrapText="1"/>
    </xf>
    <xf numFmtId="164" fontId="0" fillId="0" borderId="8" applyAlignment="1" pivotButton="0" quotePrefix="0" xfId="0">
      <alignment horizontal="left" vertical="bottom" wrapText="1"/>
    </xf>
    <xf numFmtId="0" fontId="5" fillId="2" borderId="9" applyAlignment="1" pivotButton="0" quotePrefix="0" xfId="0">
      <alignment horizontal="general" vertical="bottom" wrapText="1"/>
    </xf>
    <xf numFmtId="0" fontId="0" fillId="0" borderId="10" applyAlignment="1" pivotButton="0" quotePrefix="0" xfId="0">
      <alignment horizontal="left" vertical="bottom" wrapText="1"/>
    </xf>
    <xf numFmtId="0" fontId="5" fillId="2" borderId="10" applyAlignment="1" pivotButton="0" quotePrefix="0" xfId="0">
      <alignment horizontal="general" vertical="bottom" wrapText="1"/>
    </xf>
    <xf numFmtId="164" fontId="0" fillId="0" borderId="11" applyAlignment="1" pivotButton="0" quotePrefix="0" xfId="0">
      <alignment horizontal="left" vertical="bottom" wrapText="1"/>
    </xf>
    <xf numFmtId="0" fontId="0" fillId="0" borderId="0" applyAlignment="1" pivotButton="0" quotePrefix="0" xfId="0">
      <alignment horizontal="general" vertical="bottom" wrapText="1"/>
    </xf>
    <xf numFmtId="0" fontId="5" fillId="2" borderId="12" applyAlignment="1" pivotButton="0" quotePrefix="0" xfId="0">
      <alignment horizontal="general" vertical="bottom" wrapText="1"/>
    </xf>
    <xf numFmtId="0" fontId="5" fillId="2" borderId="5" applyAlignment="1" pivotButton="0" quotePrefix="0" xfId="0">
      <alignment horizontal="center" vertical="bottom" wrapText="1"/>
    </xf>
    <xf numFmtId="0" fontId="5" fillId="2" borderId="13" applyAlignment="1" pivotButton="0" quotePrefix="0" xfId="0">
      <alignment horizontal="center" vertical="bottom" wrapText="1"/>
    </xf>
    <xf numFmtId="0" fontId="0" fillId="0" borderId="7" applyAlignment="1" pivotButton="0" quotePrefix="0" xfId="0">
      <alignment horizontal="general" vertical="bottom" wrapText="1"/>
    </xf>
    <xf numFmtId="164" fontId="0" fillId="0" borderId="1" applyAlignment="1" pivotButton="0" quotePrefix="0" xfId="0">
      <alignment horizontal="left" vertical="bottom" wrapText="1"/>
    </xf>
    <xf numFmtId="0" fontId="0" fillId="0" borderId="1" applyAlignment="1" pivotButton="0" quotePrefix="0" xfId="0">
      <alignment horizontal="general" vertical="bottom" wrapText="1"/>
    </xf>
    <xf numFmtId="164" fontId="0" fillId="0" borderId="14" applyAlignment="1" pivotButton="0" quotePrefix="0" xfId="0">
      <alignment horizontal="left" vertical="bottom" wrapText="1"/>
    </xf>
    <xf numFmtId="0" fontId="0" fillId="0" borderId="8" applyAlignment="1" pivotButton="0" quotePrefix="0" xfId="0">
      <alignment horizontal="left" vertical="bottom" wrapText="1"/>
    </xf>
    <xf numFmtId="0" fontId="0" fillId="0" borderId="9" applyAlignment="1" pivotButton="0" quotePrefix="0" xfId="0">
      <alignment horizontal="general" vertical="bottom" wrapText="1"/>
    </xf>
    <xf numFmtId="164" fontId="0" fillId="0" borderId="10" applyAlignment="1" pivotButton="0" quotePrefix="0" xfId="0">
      <alignment horizontal="left" vertical="bottom" wrapText="1"/>
    </xf>
    <xf numFmtId="0" fontId="0" fillId="0" borderId="10" applyAlignment="1" pivotButton="0" quotePrefix="0" xfId="0">
      <alignment horizontal="general" vertical="bottom" wrapText="1"/>
    </xf>
    <xf numFmtId="164" fontId="0" fillId="0" borderId="15" applyAlignment="1" pivotButton="0" quotePrefix="0" xfId="0">
      <alignment horizontal="left" vertical="bottom" wrapText="1"/>
    </xf>
    <xf numFmtId="0" fontId="0" fillId="0" borderId="11" applyAlignment="1" pivotButton="0" quotePrefix="0" xfId="0">
      <alignment horizontal="left" vertical="bottom" wrapText="1"/>
    </xf>
    <xf numFmtId="0" fontId="9" fillId="6" borderId="16" applyAlignment="1" pivotButton="0" quotePrefix="0" xfId="0">
      <alignment horizontal="left" vertical="bottom" wrapText="1"/>
    </xf>
    <xf numFmtId="0" fontId="0" fillId="0" borderId="17" applyAlignment="1" pivotButton="0" quotePrefix="0" xfId="0">
      <alignment horizontal="left" vertical="bottom" wrapText="1"/>
    </xf>
    <xf numFmtId="0" fontId="0" fillId="0" borderId="18" applyAlignment="1" pivotButton="0" quotePrefix="0" xfId="0">
      <alignment horizontal="left" vertical="bottom" wrapText="1"/>
    </xf>
    <xf numFmtId="0" fontId="0" fillId="0" borderId="19" applyAlignment="1" pivotButton="0" quotePrefix="0" xfId="0">
      <alignment horizontal="left" vertical="bottom" wrapText="1"/>
    </xf>
    <xf numFmtId="0" fontId="5" fillId="2" borderId="12" applyAlignment="1" pivotButton="0" quotePrefix="0" xfId="0">
      <alignment horizontal="center" vertical="bottom" wrapText="1"/>
    </xf>
    <xf numFmtId="0" fontId="0" fillId="0" borderId="7" applyAlignment="1" pivotButton="0" quotePrefix="0" xfId="0">
      <alignment horizontal="center" vertical="bottom" wrapText="1"/>
    </xf>
    <xf numFmtId="0" fontId="0" fillId="0" borderId="1" applyAlignment="1" pivotButton="0" quotePrefix="0" xfId="0">
      <alignment horizontal="center" vertical="bottom" wrapText="1"/>
    </xf>
    <xf numFmtId="0" fontId="0" fillId="0" borderId="8" applyAlignment="1" pivotButton="0" quotePrefix="0" xfId="0">
      <alignment horizontal="center" vertical="bottom" wrapText="1"/>
    </xf>
    <xf numFmtId="0" fontId="0" fillId="0" borderId="9" applyAlignment="1" pivotButton="0" quotePrefix="0" xfId="0">
      <alignment horizontal="center" vertical="bottom" wrapText="1"/>
    </xf>
    <xf numFmtId="0" fontId="0" fillId="0" borderId="10" applyAlignment="1" pivotButton="0" quotePrefix="0" xfId="0">
      <alignment horizontal="center" vertical="bottom" wrapText="1"/>
    </xf>
    <xf numFmtId="0" fontId="0" fillId="0" borderId="11" applyAlignment="1" pivotButton="0" quotePrefix="0" xfId="0">
      <alignment horizontal="center" vertical="bottom" wrapText="1"/>
    </xf>
    <xf numFmtId="0" fontId="4" fillId="2" borderId="20" applyAlignment="1" pivotButton="0" quotePrefix="0" xfId="0">
      <alignment horizontal="general" vertical="bottom"/>
    </xf>
    <xf numFmtId="0" fontId="10" fillId="0" borderId="1" applyAlignment="1" pivotButton="0" quotePrefix="0" xfId="0">
      <alignment horizontal="general" vertical="bottom" wrapText="1"/>
    </xf>
    <xf numFmtId="0" fontId="11" fillId="0" borderId="0" applyAlignment="1" pivotButton="0" quotePrefix="0" xfId="0">
      <alignment horizontal="general" vertical="bottom" wrapText="1"/>
    </xf>
    <xf numFmtId="0" fontId="12" fillId="0" borderId="0" applyAlignment="1" pivotButton="0" quotePrefix="0" xfId="0">
      <alignment horizontal="general" vertical="bottom" wrapText="1"/>
    </xf>
    <xf numFmtId="0" fontId="13" fillId="0" borderId="0" applyAlignment="1" pivotButton="0" quotePrefix="0" xfId="0">
      <alignment horizontal="general" vertical="bottom"/>
    </xf>
    <xf numFmtId="0" fontId="5" fillId="2" borderId="1" applyAlignment="1" pivotButton="0" quotePrefix="0" xfId="0">
      <alignment horizontal="center" vertical="bottom"/>
    </xf>
    <xf numFmtId="0" fontId="0" fillId="7" borderId="1" applyAlignment="1" pivotButton="0" quotePrefix="0" xfId="0">
      <alignment horizontal="general" vertical="bottom"/>
    </xf>
    <xf numFmtId="0" fontId="14" fillId="8" borderId="1" applyAlignment="1" pivotButton="0" quotePrefix="0" xfId="0">
      <alignment horizontal="right" vertical="bottom"/>
    </xf>
    <xf numFmtId="0" fontId="13" fillId="3" borderId="1" applyAlignment="1" pivotButton="0" quotePrefix="0" xfId="0">
      <alignment horizontal="general" vertical="bottom" wrapText="1"/>
    </xf>
    <xf numFmtId="0" fontId="0" fillId="8" borderId="1" applyAlignment="1" pivotButton="0" quotePrefix="0" xfId="0">
      <alignment horizontal="general" vertical="bottom"/>
    </xf>
    <xf numFmtId="2" fontId="0" fillId="8" borderId="1" applyAlignment="1" pivotButton="0" quotePrefix="0" xfId="0">
      <alignment horizontal="general" vertical="bottom"/>
    </xf>
    <xf numFmtId="2" fontId="5" fillId="8" borderId="1" applyAlignment="1" pivotButton="0" quotePrefix="0" xfId="0">
      <alignment horizontal="general" vertical="bottom"/>
    </xf>
    <xf numFmtId="0" fontId="5" fillId="2" borderId="1" applyAlignment="1" pivotButton="0" quotePrefix="0" xfId="0">
      <alignment horizontal="general" vertical="top" wrapText="1"/>
    </xf>
    <xf numFmtId="0" fontId="5" fillId="8" borderId="1" applyAlignment="1" pivotButton="0" quotePrefix="0" xfId="0">
      <alignment horizontal="general" vertical="bottom"/>
    </xf>
    <xf numFmtId="0" fontId="13" fillId="3" borderId="1" applyAlignment="1" pivotButton="0" quotePrefix="0" xfId="0">
      <alignment horizontal="general" vertical="bottom"/>
    </xf>
    <xf numFmtId="0" fontId="0" fillId="3" borderId="1" applyAlignment="1" pivotButton="0" quotePrefix="0" xfId="0">
      <alignment horizontal="general" vertical="top" wrapText="1"/>
    </xf>
    <xf numFmtId="49" fontId="0" fillId="3" borderId="1" applyAlignment="1" pivotButton="0" quotePrefix="0" xfId="0">
      <alignment horizontal="general" vertical="bottom"/>
    </xf>
    <xf numFmtId="0" fontId="0" fillId="3" borderId="1" applyAlignment="1" pivotButton="0" quotePrefix="0" xfId="0">
      <alignment horizontal="general" vertical="bottom"/>
    </xf>
    <xf numFmtId="165" fontId="0" fillId="8" borderId="1" applyAlignment="1" pivotButton="0" quotePrefix="0" xfId="0">
      <alignment horizontal="general" vertical="bottom"/>
    </xf>
    <xf numFmtId="165" fontId="5" fillId="8" borderId="1" applyAlignment="1" pivotButton="0" quotePrefix="0" xfId="0">
      <alignment horizontal="general" vertical="bottom"/>
    </xf>
    <xf numFmtId="0" fontId="17" fillId="0" borderId="0" applyAlignment="1" pivotButton="0" quotePrefix="0" xfId="0">
      <alignment horizontal="general" vertical="bottom"/>
    </xf>
    <xf numFmtId="0" fontId="13" fillId="2" borderId="1" applyAlignment="1" pivotButton="0" quotePrefix="0" xfId="0">
      <alignment horizontal="general" vertical="bottom"/>
    </xf>
    <xf numFmtId="0" fontId="13" fillId="2" borderId="1" applyAlignment="1" pivotButton="0" quotePrefix="0" xfId="0">
      <alignment horizontal="general" vertical="bottom" wrapText="1"/>
    </xf>
    <xf numFmtId="0" fontId="13" fillId="8" borderId="1" applyAlignment="1" pivotButton="0" quotePrefix="0" xfId="0">
      <alignment horizontal="general" vertical="bottom"/>
    </xf>
    <xf numFmtId="0" fontId="13" fillId="0" borderId="0" applyAlignment="1" pivotButton="0" quotePrefix="0" xfId="0">
      <alignment horizontal="general" vertical="bottom"/>
    </xf>
    <xf numFmtId="0" fontId="13" fillId="0" borderId="0" applyAlignment="1" pivotButton="0" quotePrefix="0" xfId="0">
      <alignment horizontal="general" vertical="bottom" wrapText="1"/>
    </xf>
    <xf numFmtId="0" fontId="0" fillId="0" borderId="0" applyAlignment="1" pivotButton="0" quotePrefix="0" xfId="0">
      <alignment horizontal="general" vertical="bottom"/>
    </xf>
    <xf numFmtId="0" fontId="4" fillId="0" borderId="0" applyAlignment="1" pivotButton="0" quotePrefix="0" xfId="0">
      <alignment horizontal="general" vertical="top"/>
    </xf>
    <xf numFmtId="0" fontId="5" fillId="3" borderId="1" applyAlignment="1" pivotButton="0" quotePrefix="0" xfId="0">
      <alignment horizontal="general" vertical="bottom"/>
    </xf>
    <xf numFmtId="9" fontId="5" fillId="3" borderId="1" applyAlignment="1" pivotButton="0" quotePrefix="0" xfId="0">
      <alignment horizontal="general" vertical="bottom"/>
    </xf>
    <xf numFmtId="0" fontId="5" fillId="2" borderId="1" applyAlignment="1" pivotButton="0" quotePrefix="0" xfId="0">
      <alignment horizontal="general" vertical="top"/>
    </xf>
    <xf numFmtId="0" fontId="14"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1" applyAlignment="1" pivotButton="0" quotePrefix="0" xfId="0">
      <alignment horizontal="general" vertical="bottom"/>
    </xf>
    <xf numFmtId="2" fontId="19" fillId="0" borderId="1" applyAlignment="1" pivotButton="0" quotePrefix="0" xfId="20">
      <alignment horizontal="general" vertical="bottom"/>
    </xf>
    <xf numFmtId="2" fontId="19" fillId="0" borderId="1" applyAlignment="1" pivotButton="0" quotePrefix="0" xfId="0">
      <alignment horizontal="general" vertical="bottom"/>
    </xf>
    <xf numFmtId="0" fontId="0" fillId="0" borderId="1" applyAlignment="1" pivotButton="0" quotePrefix="0" xfId="0">
      <alignment horizontal="general" vertical="bottom"/>
    </xf>
    <xf numFmtId="9" fontId="0" fillId="3" borderId="1" applyAlignment="1" pivotButton="0" quotePrefix="0" xfId="0">
      <alignment horizontal="general" vertical="bottom"/>
    </xf>
    <xf numFmtId="9" fontId="5" fillId="8" borderId="1" applyAlignment="1" pivotButton="0" quotePrefix="0" xfId="0">
      <alignment horizontal="general" vertical="center"/>
    </xf>
    <xf numFmtId="9" fontId="5" fillId="8" borderId="1" applyAlignment="1" pivotButton="0" quotePrefix="0" xfId="0">
      <alignment horizontal="general" vertical="bottom"/>
    </xf>
    <xf numFmtId="0" fontId="0" fillId="3" borderId="1" applyAlignment="1" pivotButton="0" quotePrefix="0" xfId="0">
      <alignment horizontal="general" vertical="bottom" wrapText="1"/>
    </xf>
    <xf numFmtId="0" fontId="5" fillId="0" borderId="1" applyAlignment="1" pivotButton="0" quotePrefix="0" xfId="0">
      <alignment horizontal="right" vertical="bottom"/>
    </xf>
    <xf numFmtId="0" fontId="5" fillId="0" borderId="1" applyAlignment="1" pivotButton="0" quotePrefix="0" xfId="0">
      <alignment horizontal="general" vertical="bottom"/>
    </xf>
    <xf numFmtId="166" fontId="0" fillId="0" borderId="1" applyAlignment="1" pivotButton="0" quotePrefix="0" xfId="0">
      <alignment horizontal="general" vertical="bottom"/>
    </xf>
    <xf numFmtId="0" fontId="13" fillId="0" borderId="1" applyAlignment="1" pivotButton="0" quotePrefix="0" xfId="0">
      <alignment horizontal="general" vertical="bottom" wrapText="1"/>
    </xf>
    <xf numFmtId="0" fontId="24" fillId="3" borderId="1" applyAlignment="1" pivotButton="0" quotePrefix="0" xfId="0">
      <alignment horizontal="general" vertical="bottom"/>
    </xf>
    <xf numFmtId="166" fontId="24" fillId="0" borderId="1" applyAlignment="1" pivotButton="0" quotePrefix="0" xfId="0">
      <alignment horizontal="general" vertical="bottom"/>
    </xf>
    <xf numFmtId="0" fontId="4" fillId="0" borderId="0" applyAlignment="1" pivotButton="0" quotePrefix="0" xfId="0">
      <alignment horizontal="general" vertical="bottom"/>
    </xf>
    <xf numFmtId="0" fontId="25" fillId="3" borderId="1" applyAlignment="1" pivotButton="0" quotePrefix="0" xfId="0">
      <alignment horizontal="general" vertical="bottom" wrapText="1"/>
    </xf>
    <xf numFmtId="167" fontId="0" fillId="8" borderId="1" applyAlignment="1" pivotButton="0" quotePrefix="0" xfId="0">
      <alignment horizontal="general" vertical="bottom"/>
    </xf>
    <xf numFmtId="167" fontId="13" fillId="8" borderId="1" applyAlignment="1" pivotButton="0" quotePrefix="0" xfId="0">
      <alignment horizontal="right" vertical="bottom"/>
    </xf>
    <xf numFmtId="2" fontId="13" fillId="8" borderId="1" applyAlignment="1" pivotButton="0" quotePrefix="0" xfId="0">
      <alignment horizontal="right" vertical="bottom"/>
    </xf>
    <xf numFmtId="4" fontId="0" fillId="8" borderId="1" applyAlignment="1" pivotButton="0" quotePrefix="0" xfId="0">
      <alignment horizontal="general" vertical="bottom"/>
    </xf>
    <xf numFmtId="167" fontId="5" fillId="8" borderId="1" applyAlignment="1" pivotButton="0" quotePrefix="0" xfId="0">
      <alignment horizontal="general" vertical="bottom"/>
    </xf>
    <xf numFmtId="4" fontId="5" fillId="8" borderId="1" applyAlignment="1" pivotButton="0" quotePrefix="0" xfId="0">
      <alignment horizontal="general" vertical="bottom"/>
    </xf>
    <xf numFmtId="0" fontId="14" fillId="8" borderId="1" applyAlignment="1" pivotButton="0" quotePrefix="0" xfId="0">
      <alignment horizontal="right" vertical="bottom" wrapText="1"/>
    </xf>
    <xf numFmtId="168" fontId="5" fillId="8" borderId="1" applyAlignment="1" pivotButton="0" quotePrefix="0" xfId="0">
      <alignment horizontal="right" vertical="bottom"/>
    </xf>
    <xf numFmtId="0" fontId="5" fillId="7" borderId="20" applyAlignment="1" pivotButton="0" quotePrefix="0" xfId="0">
      <alignment horizontal="general" vertical="bottom"/>
    </xf>
    <xf numFmtId="0" fontId="0" fillId="7" borderId="20" applyAlignment="1" pivotButton="0" quotePrefix="0" xfId="0">
      <alignment horizontal="general" vertical="bottom"/>
    </xf>
    <xf numFmtId="169" fontId="0" fillId="8" borderId="1" applyAlignment="1" pivotButton="0" quotePrefix="0" xfId="0">
      <alignment horizontal="general" vertical="bottom"/>
    </xf>
    <xf numFmtId="0" fontId="5" fillId="0" borderId="21" applyAlignment="1" pivotButton="0" quotePrefix="0" xfId="0">
      <alignment horizontal="general" vertical="bottom"/>
    </xf>
    <xf numFmtId="169" fontId="5" fillId="8" borderId="1" applyAlignment="1" pivotButton="0" quotePrefix="0" xfId="0">
      <alignment horizontal="general" vertical="bottom"/>
    </xf>
    <xf numFmtId="0" fontId="0" fillId="0" borderId="0" applyAlignment="1" pivotButton="0" quotePrefix="0" xfId="0">
      <alignment horizontal="general" vertical="bottom" wrapText="1"/>
    </xf>
    <xf numFmtId="0" fontId="0" fillId="8" borderId="1" applyAlignment="1" pivotButton="0" quotePrefix="0" xfId="0">
      <alignment horizontal="right" vertical="bottom"/>
    </xf>
    <xf numFmtId="0" fontId="0" fillId="3" borderId="1" applyAlignment="1" pivotButton="0" quotePrefix="0" xfId="0">
      <alignment horizontal="general" vertical="bottom"/>
    </xf>
    <xf numFmtId="167" fontId="0" fillId="0" borderId="0" applyAlignment="1" pivotButton="0" quotePrefix="0" xfId="0">
      <alignment horizontal="right" vertical="bottom"/>
    </xf>
    <xf numFmtId="0" fontId="5" fillId="8" borderId="1" applyAlignment="1" pivotButton="0" quotePrefix="0" xfId="0">
      <alignment horizontal="right" vertical="bottom"/>
    </xf>
    <xf numFmtId="0" fontId="5" fillId="3" borderId="1" applyAlignment="1" pivotButton="0" quotePrefix="0" xfId="0">
      <alignment horizontal="left" vertical="bottom" wrapText="1"/>
    </xf>
    <xf numFmtId="0" fontId="5" fillId="3" borderId="1" applyAlignment="1" pivotButton="0" quotePrefix="0" xfId="0">
      <alignment horizontal="general" vertical="bottom" wrapText="1"/>
    </xf>
    <xf numFmtId="167" fontId="13" fillId="8" borderId="1" applyAlignment="1" pivotButton="0" quotePrefix="0" xfId="0">
      <alignment horizontal="general" vertical="bottom" wrapText="1"/>
    </xf>
    <xf numFmtId="167" fontId="0" fillId="8" borderId="1"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general" vertical="bottom"/>
    </xf>
    <xf numFmtId="0" fontId="5" fillId="2" borderId="1" applyAlignment="1" pivotButton="0" quotePrefix="0" xfId="0">
      <alignment horizontal="general" vertical="bottom" wrapText="1"/>
    </xf>
    <xf numFmtId="0" fontId="0" fillId="2" borderId="1" applyAlignment="1" pivotButton="0" quotePrefix="0" xfId="0">
      <alignment horizontal="general" vertical="top"/>
    </xf>
    <xf numFmtId="0" fontId="0" fillId="2" borderId="1" applyAlignment="1" pivotButton="0" quotePrefix="0" xfId="0">
      <alignment horizontal="general" vertical="bottom"/>
    </xf>
    <xf numFmtId="0" fontId="0" fillId="3" borderId="1" applyAlignment="1" pivotButton="0" quotePrefix="0" xfId="0">
      <alignment horizontal="general" vertical="bottom"/>
    </xf>
    <xf numFmtId="0" fontId="0" fillId="0" borderId="23" pivotButton="0" quotePrefix="0" xfId="0"/>
    <xf numFmtId="0" fontId="0" fillId="0" borderId="4" pivotButton="0" quotePrefix="0" xfId="0"/>
    <xf numFmtId="0" fontId="5" fillId="0" borderId="0" applyAlignment="1" pivotButton="0" quotePrefix="0" xfId="0">
      <alignment horizontal="general" vertical="bottom"/>
    </xf>
    <xf numFmtId="0" fontId="0" fillId="0" borderId="0" applyAlignment="1" pivotButton="0" quotePrefix="0" xfId="0">
      <alignment horizontal="general" vertical="top"/>
    </xf>
    <xf numFmtId="0" fontId="6" fillId="4" borderId="2" applyAlignment="1" pivotButton="0" quotePrefix="0" xfId="0">
      <alignment horizontal="right" vertical="top" wrapText="1"/>
    </xf>
    <xf numFmtId="0" fontId="0" fillId="0" borderId="26" pivotButton="0" quotePrefix="0" xfId="0"/>
    <xf numFmtId="0" fontId="0" fillId="0" borderId="27" pivotButton="0" quotePrefix="0" xfId="0"/>
    <xf numFmtId="0" fontId="7" fillId="0" borderId="0" applyAlignment="1" pivotButton="0" quotePrefix="0" xfId="0">
      <alignment horizontal="justify" vertical="bottom"/>
    </xf>
    <xf numFmtId="0" fontId="8" fillId="5" borderId="2" applyAlignment="1" pivotButton="0" quotePrefix="0" xfId="0">
      <alignment horizontal="center" vertical="center"/>
    </xf>
    <xf numFmtId="0" fontId="0" fillId="0" borderId="24" pivotButton="0" quotePrefix="0" xfId="0"/>
    <xf numFmtId="0" fontId="0" fillId="0" borderId="25"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9" fillId="6" borderId="2" applyAlignment="1" pivotButton="0" quotePrefix="0" xfId="0">
      <alignment horizontal="left" vertical="bottom" wrapText="1"/>
    </xf>
    <xf numFmtId="0" fontId="5" fillId="2" borderId="3" applyAlignment="1" pivotButton="0" quotePrefix="0" xfId="0">
      <alignment horizontal="general" vertical="bottom" wrapText="1"/>
    </xf>
    <xf numFmtId="0" fontId="0" fillId="0" borderId="4" applyAlignment="1" pivotButton="0" quotePrefix="0" xfId="0">
      <alignment horizontal="left" vertical="bottom" wrapText="1"/>
    </xf>
    <xf numFmtId="0" fontId="0" fillId="0" borderId="34" pivotButton="0" quotePrefix="0" xfId="0"/>
    <xf numFmtId="0" fontId="0" fillId="0" borderId="35" pivotButton="0" quotePrefix="0" xfId="0"/>
    <xf numFmtId="0" fontId="5" fillId="2" borderId="5" applyAlignment="1" pivotButton="0" quotePrefix="0" xfId="0">
      <alignment horizontal="general" vertical="bottom" wrapText="1"/>
    </xf>
    <xf numFmtId="0" fontId="0" fillId="0" borderId="37" pivotButton="0" quotePrefix="0" xfId="0"/>
    <xf numFmtId="0" fontId="0" fillId="0" borderId="6" applyAlignment="1" pivotButton="0" quotePrefix="0" xfId="0">
      <alignment horizontal="left" vertical="bottom" wrapText="1"/>
    </xf>
    <xf numFmtId="0" fontId="0" fillId="0" borderId="38" pivotButton="0" quotePrefix="0" xfId="0"/>
    <xf numFmtId="0" fontId="5" fillId="2" borderId="7" applyAlignment="1" pivotButton="0" quotePrefix="0" xfId="0">
      <alignment horizontal="general" vertical="bottom" wrapText="1"/>
    </xf>
    <xf numFmtId="0" fontId="0" fillId="0" borderId="1" applyAlignment="1" pivotButton="0" quotePrefix="0" xfId="0">
      <alignment horizontal="left" vertical="bottom" wrapText="1"/>
    </xf>
    <xf numFmtId="0" fontId="0" fillId="0" borderId="41" pivotButton="0" quotePrefix="0" xfId="0"/>
    <xf numFmtId="0" fontId="0" fillId="0" borderId="21" pivotButton="0" quotePrefix="0" xfId="0"/>
    <xf numFmtId="164" fontId="0" fillId="0" borderId="8" applyAlignment="1" pivotButton="0" quotePrefix="0" xfId="0">
      <alignment horizontal="left" vertical="bottom" wrapText="1"/>
    </xf>
    <xf numFmtId="0" fontId="0" fillId="0" borderId="43" pivotButton="0" quotePrefix="0" xfId="0"/>
    <xf numFmtId="0" fontId="5" fillId="2" borderId="9" applyAlignment="1" pivotButton="0" quotePrefix="0" xfId="0">
      <alignment horizontal="general" vertical="bottom" wrapText="1"/>
    </xf>
    <xf numFmtId="0" fontId="0" fillId="0" borderId="10" applyAlignment="1" pivotButton="0" quotePrefix="0" xfId="0">
      <alignment horizontal="left" vertical="bottom" wrapText="1"/>
    </xf>
    <xf numFmtId="0" fontId="0" fillId="0" borderId="44" pivotButton="0" quotePrefix="0" xfId="0"/>
    <xf numFmtId="0" fontId="0" fillId="0" borderId="45" pivotButton="0" quotePrefix="0" xfId="0"/>
    <xf numFmtId="0" fontId="5" fillId="2" borderId="10" applyAlignment="1" pivotButton="0" quotePrefix="0" xfId="0">
      <alignment horizontal="general" vertical="bottom" wrapText="1"/>
    </xf>
    <xf numFmtId="164" fontId="0" fillId="0" borderId="11" applyAlignment="1" pivotButton="0" quotePrefix="0" xfId="0">
      <alignment horizontal="left" vertical="bottom" wrapText="1"/>
    </xf>
    <xf numFmtId="0" fontId="0" fillId="0" borderId="46" pivotButton="0" quotePrefix="0" xfId="0"/>
    <xf numFmtId="0" fontId="0" fillId="0" borderId="0" applyAlignment="1" pivotButton="0" quotePrefix="0" xfId="0">
      <alignment horizontal="general" vertical="bottom" wrapText="1"/>
    </xf>
    <xf numFmtId="0" fontId="5" fillId="2" borderId="12" applyAlignment="1" pivotButton="0" quotePrefix="0" xfId="0">
      <alignment horizontal="general" vertical="bottom" wrapText="1"/>
    </xf>
    <xf numFmtId="0" fontId="5" fillId="2" borderId="5" applyAlignment="1" pivotButton="0" quotePrefix="0" xfId="0">
      <alignment horizontal="center" vertical="bottom" wrapText="1"/>
    </xf>
    <xf numFmtId="0" fontId="5" fillId="2" borderId="13" applyAlignment="1" pivotButton="0" quotePrefix="0" xfId="0">
      <alignment horizontal="center" vertical="bottom" wrapText="1"/>
    </xf>
    <xf numFmtId="0" fontId="0" fillId="0" borderId="47" pivotButton="0" quotePrefix="0" xfId="0"/>
    <xf numFmtId="0" fontId="0" fillId="0" borderId="7" applyAlignment="1" pivotButton="0" quotePrefix="0" xfId="0">
      <alignment horizontal="general" vertical="bottom" wrapText="1"/>
    </xf>
    <xf numFmtId="164" fontId="0" fillId="0" borderId="1" applyAlignment="1" pivotButton="0" quotePrefix="0" xfId="0">
      <alignment horizontal="left" vertical="bottom" wrapText="1"/>
    </xf>
    <xf numFmtId="0" fontId="0" fillId="0" borderId="1" applyAlignment="1" pivotButton="0" quotePrefix="0" xfId="0">
      <alignment horizontal="general" vertical="bottom" wrapText="1"/>
    </xf>
    <xf numFmtId="164" fontId="0" fillId="0" borderId="14" applyAlignment="1" pivotButton="0" quotePrefix="0" xfId="0">
      <alignment horizontal="left" vertical="bottom" wrapText="1"/>
    </xf>
    <xf numFmtId="0" fontId="0" fillId="0" borderId="8" applyAlignment="1" pivotButton="0" quotePrefix="0" xfId="0">
      <alignment horizontal="left" vertical="bottom" wrapText="1"/>
    </xf>
    <xf numFmtId="0" fontId="0" fillId="0" borderId="9" applyAlignment="1" pivotButton="0" quotePrefix="0" xfId="0">
      <alignment horizontal="general" vertical="bottom" wrapText="1"/>
    </xf>
    <xf numFmtId="164" fontId="0" fillId="0" borderId="10" applyAlignment="1" pivotButton="0" quotePrefix="0" xfId="0">
      <alignment horizontal="left" vertical="bottom" wrapText="1"/>
    </xf>
    <xf numFmtId="0" fontId="0" fillId="0" borderId="10" applyAlignment="1" pivotButton="0" quotePrefix="0" xfId="0">
      <alignment horizontal="general" vertical="bottom" wrapText="1"/>
    </xf>
    <xf numFmtId="164" fontId="0" fillId="0" borderId="15" applyAlignment="1" pivotButton="0" quotePrefix="0" xfId="0">
      <alignment horizontal="left" vertical="bottom" wrapText="1"/>
    </xf>
    <xf numFmtId="0" fontId="0" fillId="0" borderId="11" applyAlignment="1" pivotButton="0" quotePrefix="0" xfId="0">
      <alignment horizontal="left" vertical="bottom" wrapText="1"/>
    </xf>
    <xf numFmtId="0" fontId="9" fillId="6" borderId="16" applyAlignment="1" pivotButton="0" quotePrefix="0" xfId="0">
      <alignment horizontal="left" vertical="bottom" wrapText="1"/>
    </xf>
    <xf numFmtId="0" fontId="0" fillId="0" borderId="17" applyAlignment="1" pivotButton="0" quotePrefix="0" xfId="0">
      <alignment horizontal="left" vertical="bottom" wrapText="1"/>
    </xf>
    <xf numFmtId="0" fontId="0" fillId="0" borderId="48" pivotButton="0" quotePrefix="0" xfId="0"/>
    <xf numFmtId="0" fontId="0" fillId="0" borderId="18" applyAlignment="1" pivotButton="0" quotePrefix="0" xfId="0">
      <alignment horizontal="left" vertical="bottom" wrapText="1"/>
    </xf>
    <xf numFmtId="0" fontId="0" fillId="0" borderId="19" applyAlignment="1" pivotButton="0" quotePrefix="0" xfId="0">
      <alignment horizontal="left" vertical="bottom" wrapText="1"/>
    </xf>
    <xf numFmtId="0" fontId="5" fillId="2" borderId="12" applyAlignment="1" pivotButton="0" quotePrefix="0" xfId="0">
      <alignment horizontal="center" vertical="bottom" wrapText="1"/>
    </xf>
    <xf numFmtId="0" fontId="0" fillId="0" borderId="7" applyAlignment="1" pivotButton="0" quotePrefix="0" xfId="0">
      <alignment horizontal="center" vertical="bottom" wrapText="1"/>
    </xf>
    <xf numFmtId="0" fontId="0" fillId="0" borderId="1" applyAlignment="1" pivotButton="0" quotePrefix="0" xfId="0">
      <alignment horizontal="center" vertical="bottom" wrapText="1"/>
    </xf>
    <xf numFmtId="0" fontId="0" fillId="0" borderId="8" applyAlignment="1" pivotButton="0" quotePrefix="0" xfId="0">
      <alignment horizontal="center" vertical="bottom" wrapText="1"/>
    </xf>
    <xf numFmtId="0" fontId="0" fillId="0" borderId="9" applyAlignment="1" pivotButton="0" quotePrefix="0" xfId="0">
      <alignment horizontal="center" vertical="bottom" wrapText="1"/>
    </xf>
    <xf numFmtId="0" fontId="0" fillId="0" borderId="10" applyAlignment="1" pivotButton="0" quotePrefix="0" xfId="0">
      <alignment horizontal="center" vertical="bottom" wrapText="1"/>
    </xf>
    <xf numFmtId="0" fontId="0" fillId="0" borderId="11" applyAlignment="1" pivotButton="0" quotePrefix="0" xfId="0">
      <alignment horizontal="center" vertical="bottom" wrapText="1"/>
    </xf>
    <xf numFmtId="0" fontId="4" fillId="2" borderId="20" applyAlignment="1" pivotButton="0" quotePrefix="0" xfId="0">
      <alignment horizontal="general" vertical="bottom"/>
    </xf>
    <xf numFmtId="0" fontId="10" fillId="0" borderId="1" applyAlignment="1" pivotButton="0" quotePrefix="0" xfId="0">
      <alignment horizontal="general" vertical="bottom" wrapText="1"/>
    </xf>
    <xf numFmtId="0" fontId="11" fillId="0" borderId="0" applyAlignment="1" pivotButton="0" quotePrefix="0" xfId="0">
      <alignment horizontal="general" vertical="bottom" wrapText="1"/>
    </xf>
    <xf numFmtId="0" fontId="12" fillId="0" borderId="0" applyAlignment="1" pivotButton="0" quotePrefix="0" xfId="0">
      <alignment horizontal="general" vertical="bottom" wrapText="1"/>
    </xf>
    <xf numFmtId="0" fontId="13" fillId="0" borderId="0" applyAlignment="1" pivotButton="0" quotePrefix="0" xfId="0">
      <alignment horizontal="general" vertical="bottom"/>
    </xf>
    <xf numFmtId="0" fontId="5" fillId="2" borderId="1" applyAlignment="1" pivotButton="0" quotePrefix="0" xfId="0">
      <alignment horizontal="center" vertical="bottom"/>
    </xf>
    <xf numFmtId="0" fontId="0" fillId="7" borderId="1" applyAlignment="1" pivotButton="0" quotePrefix="0" xfId="0">
      <alignment horizontal="general" vertical="bottom"/>
    </xf>
    <xf numFmtId="0" fontId="14" fillId="8" borderId="1" applyAlignment="1" pivotButton="0" quotePrefix="0" xfId="0">
      <alignment horizontal="right" vertical="bottom"/>
    </xf>
    <xf numFmtId="0" fontId="13" fillId="3" borderId="1" applyAlignment="1" pivotButton="0" quotePrefix="0" xfId="0">
      <alignment horizontal="general" vertical="bottom" wrapText="1"/>
    </xf>
    <xf numFmtId="0" fontId="0" fillId="8" borderId="1" applyAlignment="1" pivotButton="0" quotePrefix="0" xfId="0">
      <alignment horizontal="general" vertical="bottom"/>
    </xf>
    <xf numFmtId="2" fontId="0" fillId="8" borderId="1" applyAlignment="1" pivotButton="0" quotePrefix="0" xfId="0">
      <alignment horizontal="general" vertical="bottom"/>
    </xf>
    <xf numFmtId="2" fontId="5" fillId="8" borderId="1" applyAlignment="1" pivotButton="0" quotePrefix="0" xfId="0">
      <alignment horizontal="general" vertical="bottom"/>
    </xf>
    <xf numFmtId="0" fontId="5" fillId="2" borderId="1" applyAlignment="1" pivotButton="0" quotePrefix="0" xfId="0">
      <alignment horizontal="general" vertical="top" wrapText="1"/>
    </xf>
    <xf numFmtId="0" fontId="5" fillId="8" borderId="1" applyAlignment="1" pivotButton="0" quotePrefix="0" xfId="0">
      <alignment horizontal="general" vertical="bottom"/>
    </xf>
    <xf numFmtId="0" fontId="13" fillId="3" borderId="1" applyAlignment="1" pivotButton="0" quotePrefix="0" xfId="0">
      <alignment horizontal="general" vertical="bottom"/>
    </xf>
    <xf numFmtId="0" fontId="0" fillId="3" borderId="1" applyAlignment="1" pivotButton="0" quotePrefix="0" xfId="0">
      <alignment horizontal="general" vertical="top" wrapText="1"/>
    </xf>
    <xf numFmtId="49" fontId="0" fillId="3" borderId="1" applyAlignment="1" pivotButton="0" quotePrefix="0" xfId="0">
      <alignment horizontal="general" vertical="bottom"/>
    </xf>
    <xf numFmtId="165" fontId="0" fillId="8" borderId="1" applyAlignment="1" pivotButton="0" quotePrefix="0" xfId="0">
      <alignment horizontal="general" vertical="bottom"/>
    </xf>
    <xf numFmtId="165" fontId="5" fillId="8" borderId="1" applyAlignment="1" pivotButton="0" quotePrefix="0" xfId="0">
      <alignment horizontal="general" vertical="bottom"/>
    </xf>
    <xf numFmtId="0" fontId="17" fillId="0" borderId="0" applyAlignment="1" pivotButton="0" quotePrefix="0" xfId="0">
      <alignment horizontal="general" vertical="bottom"/>
    </xf>
    <xf numFmtId="0" fontId="13" fillId="2" borderId="1" applyAlignment="1" pivotButton="0" quotePrefix="0" xfId="0">
      <alignment horizontal="general" vertical="bottom"/>
    </xf>
    <xf numFmtId="0" fontId="13" fillId="2" borderId="1" applyAlignment="1" pivotButton="0" quotePrefix="0" xfId="0">
      <alignment horizontal="general" vertical="bottom" wrapText="1"/>
    </xf>
    <xf numFmtId="0" fontId="13" fillId="8" borderId="1" applyAlignment="1" pivotButton="0" quotePrefix="0" xfId="0">
      <alignment horizontal="general" vertical="bottom"/>
    </xf>
    <xf numFmtId="0" fontId="13" fillId="0" borderId="0" applyAlignment="1" pivotButton="0" quotePrefix="0" xfId="0">
      <alignment horizontal="general" vertical="bottom" wrapText="1"/>
    </xf>
    <xf numFmtId="0" fontId="4" fillId="0" borderId="0" applyAlignment="1" pivotButton="0" quotePrefix="0" xfId="0">
      <alignment horizontal="general" vertical="top"/>
    </xf>
    <xf numFmtId="0" fontId="5" fillId="3" borderId="1" applyAlignment="1" pivotButton="0" quotePrefix="0" xfId="0">
      <alignment horizontal="general" vertical="bottom"/>
    </xf>
    <xf numFmtId="9" fontId="5" fillId="3" borderId="1" applyAlignment="1" pivotButton="0" quotePrefix="0" xfId="0">
      <alignment horizontal="general" vertical="bottom"/>
    </xf>
    <xf numFmtId="0" fontId="5" fillId="2" borderId="1" applyAlignment="1" pivotButton="0" quotePrefix="0" xfId="0">
      <alignment horizontal="general" vertical="top"/>
    </xf>
    <xf numFmtId="0" fontId="14" fillId="0" borderId="0" applyAlignment="1" pivotButton="0" quotePrefix="0" xfId="0">
      <alignment horizontal="general" vertical="bottom"/>
    </xf>
    <xf numFmtId="0" fontId="0" fillId="0" borderId="1" applyAlignment="1" pivotButton="0" quotePrefix="0" xfId="0">
      <alignment horizontal="general" vertical="bottom"/>
    </xf>
    <xf numFmtId="2" fontId="19" fillId="0" borderId="1" applyAlignment="1" pivotButton="0" quotePrefix="0" xfId="20">
      <alignment horizontal="general" vertical="bottom"/>
    </xf>
    <xf numFmtId="2" fontId="19" fillId="0" borderId="1" applyAlignment="1" pivotButton="0" quotePrefix="0" xfId="0">
      <alignment horizontal="general" vertical="bottom"/>
    </xf>
    <xf numFmtId="9" fontId="0" fillId="3" borderId="1" applyAlignment="1" pivotButton="0" quotePrefix="0" xfId="0">
      <alignment horizontal="general" vertical="bottom"/>
    </xf>
    <xf numFmtId="9" fontId="5" fillId="8" borderId="1" applyAlignment="1" pivotButton="0" quotePrefix="0" xfId="0">
      <alignment horizontal="general" vertical="center"/>
    </xf>
    <xf numFmtId="9" fontId="5" fillId="8" borderId="1" applyAlignment="1" pivotButton="0" quotePrefix="0" xfId="0">
      <alignment horizontal="general" vertical="bottom"/>
    </xf>
    <xf numFmtId="0" fontId="0" fillId="3" borderId="1" applyAlignment="1" pivotButton="0" quotePrefix="0" xfId="0">
      <alignment horizontal="general" vertical="bottom" wrapText="1"/>
    </xf>
    <xf numFmtId="0" fontId="5" fillId="0" borderId="1" applyAlignment="1" pivotButton="0" quotePrefix="0" xfId="0">
      <alignment horizontal="right" vertical="bottom"/>
    </xf>
    <xf numFmtId="0" fontId="5" fillId="0" borderId="1" applyAlignment="1" pivotButton="0" quotePrefix="0" xfId="0">
      <alignment horizontal="general" vertical="bottom"/>
    </xf>
    <xf numFmtId="166" fontId="0" fillId="0" borderId="1" applyAlignment="1" pivotButton="0" quotePrefix="0" xfId="0">
      <alignment horizontal="general" vertical="bottom"/>
    </xf>
    <xf numFmtId="0" fontId="13" fillId="0" borderId="1" applyAlignment="1" pivotButton="0" quotePrefix="0" xfId="0">
      <alignment horizontal="general" vertical="bottom" wrapText="1"/>
    </xf>
    <xf numFmtId="0" fontId="24" fillId="3" borderId="1" applyAlignment="1" pivotButton="0" quotePrefix="0" xfId="0">
      <alignment horizontal="general" vertical="bottom"/>
    </xf>
    <xf numFmtId="166" fontId="24" fillId="0" borderId="1" applyAlignment="1" pivotButton="0" quotePrefix="0" xfId="0">
      <alignment horizontal="general" vertical="bottom"/>
    </xf>
    <xf numFmtId="0" fontId="25" fillId="3" borderId="1" applyAlignment="1" pivotButton="0" quotePrefix="0" xfId="0">
      <alignment horizontal="general" vertical="bottom" wrapText="1"/>
    </xf>
    <xf numFmtId="167" fontId="0" fillId="8" borderId="1" applyAlignment="1" pivotButton="0" quotePrefix="0" xfId="0">
      <alignment horizontal="general" vertical="bottom"/>
    </xf>
    <xf numFmtId="167" fontId="13" fillId="8" borderId="1" applyAlignment="1" pivotButton="0" quotePrefix="0" xfId="0">
      <alignment horizontal="right" vertical="bottom"/>
    </xf>
    <xf numFmtId="2" fontId="13" fillId="8" borderId="1" applyAlignment="1" pivotButton="0" quotePrefix="0" xfId="0">
      <alignment horizontal="right" vertical="bottom"/>
    </xf>
    <xf numFmtId="4" fontId="0" fillId="8" borderId="1" applyAlignment="1" pivotButton="0" quotePrefix="0" xfId="0">
      <alignment horizontal="general" vertical="bottom"/>
    </xf>
    <xf numFmtId="167" fontId="5" fillId="8" borderId="1" applyAlignment="1" pivotButton="0" quotePrefix="0" xfId="0">
      <alignment horizontal="general" vertical="bottom"/>
    </xf>
    <xf numFmtId="4" fontId="5" fillId="8" borderId="1" applyAlignment="1" pivotButton="0" quotePrefix="0" xfId="0">
      <alignment horizontal="general" vertical="bottom"/>
    </xf>
    <xf numFmtId="0" fontId="14" fillId="8" borderId="1" applyAlignment="1" pivotButton="0" quotePrefix="0" xfId="0">
      <alignment horizontal="right" vertical="bottom" wrapText="1"/>
    </xf>
    <xf numFmtId="168" fontId="5" fillId="8" borderId="1" applyAlignment="1" pivotButton="0" quotePrefix="0" xfId="0">
      <alignment horizontal="right" vertical="bottom"/>
    </xf>
    <xf numFmtId="0" fontId="5" fillId="7" borderId="20" applyAlignment="1" pivotButton="0" quotePrefix="0" xfId="0">
      <alignment horizontal="general" vertical="bottom"/>
    </xf>
    <xf numFmtId="0" fontId="0" fillId="7" borderId="20" applyAlignment="1" pivotButton="0" quotePrefix="0" xfId="0">
      <alignment horizontal="general" vertical="bottom"/>
    </xf>
    <xf numFmtId="169" fontId="0" fillId="8" borderId="1" applyAlignment="1" pivotButton="0" quotePrefix="0" xfId="0">
      <alignment horizontal="general" vertical="bottom"/>
    </xf>
    <xf numFmtId="0" fontId="5" fillId="0" borderId="21" applyAlignment="1" pivotButton="0" quotePrefix="0" xfId="0">
      <alignment horizontal="general" vertical="bottom"/>
    </xf>
    <xf numFmtId="169" fontId="5" fillId="8" borderId="1" applyAlignment="1" pivotButton="0" quotePrefix="0" xfId="0">
      <alignment horizontal="general" vertical="bottom"/>
    </xf>
    <xf numFmtId="0" fontId="0" fillId="8" borderId="1" applyAlignment="1" pivotButton="0" quotePrefix="0" xfId="0">
      <alignment horizontal="right" vertical="bottom"/>
    </xf>
    <xf numFmtId="167" fontId="0" fillId="0" borderId="0" applyAlignment="1" pivotButton="0" quotePrefix="0" xfId="0">
      <alignment horizontal="right" vertical="bottom"/>
    </xf>
    <xf numFmtId="0" fontId="5" fillId="8" borderId="1" applyAlignment="1" pivotButton="0" quotePrefix="0" xfId="0">
      <alignment horizontal="right" vertical="bottom"/>
    </xf>
    <xf numFmtId="0" fontId="5" fillId="3" borderId="1" applyAlignment="1" pivotButton="0" quotePrefix="0" xfId="0">
      <alignment horizontal="left" vertical="bottom" wrapText="1"/>
    </xf>
    <xf numFmtId="0" fontId="5" fillId="3" borderId="1" applyAlignment="1" pivotButton="0" quotePrefix="0" xfId="0">
      <alignment horizontal="general" vertical="bottom" wrapText="1"/>
    </xf>
    <xf numFmtId="167" fontId="13" fillId="8" borderId="1" applyAlignment="1" pivotButton="0" quotePrefix="0" xfId="0">
      <alignment horizontal="general" vertical="bottom" wrapText="1"/>
    </xf>
    <xf numFmtId="167" fontId="0" fillId="8" borderId="1" applyAlignment="1" pivotButton="0" quotePrefix="0" xfId="0">
      <alignment horizontal="general" vertical="bottom"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
    <dxf>
      <font>
        <name val="Arial"/>
        <family val="0"/>
        <color rgb="00FFFFFF"/>
      </font>
      <fill>
        <patternFill>
          <bgColor rgb="FFFF0000"/>
        </patternFill>
      </fill>
    </dxf>
    <dxf>
      <font>
        <name val="Arial"/>
        <family val="0"/>
        <color rgb="00FFFFFF"/>
      </font>
      <fill>
        <patternFill>
          <bgColor rgb="FFFF0000"/>
        </patternFill>
      </fill>
    </dxf>
    <dxf>
      <font>
        <name val="Arial"/>
        <family val="0"/>
        <color rgb="00FFFFFF"/>
      </font>
      <fill>
        <patternFill>
          <bgColor rgb="FFFF0000"/>
        </patternFill>
      </fill>
    </dxf>
    <dxf>
      <font>
        <name val="Arial"/>
        <family val="0"/>
        <color rgb="00FFFFFF"/>
      </font>
      <fill>
        <patternFill>
          <bgColor rgb="FFFF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externalLink" Target="/xl/externalLinks/externalLink1.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Unknown Author</author>
  </authors>
  <commentList>
    <comment ref="E2" authorId="0" shapeId="0">
      <text>
        <t>ILF Complexity:
RETs  1-19 DETs  20-51 DETs  51+ DETs
----  ---------  ----------  --------
1     Low        Low         Avg
2-5   Low        Avg         High
6+    Avg        High        High</t>
      </text>
    </comment>
    <comment ref="H2" authorId="0" shapeId="0">
      <text>
        <t xml:space="preserve">EIF Complexity:
RETs  1-19 DETs  20-51 DETs  51+ DETs
----  ---------  ----------  --------
1     Low        Low         Avg
2-5   Low        Avg         High
6+    Avg        High        High
</t>
      </text>
    </comment>
    <comment ref="K2" authorId="0" shapeId="0">
      <text>
        <t xml:space="preserve">EI Complexity:
FTRs  1-4 DETs  5-15 DETs  16+ DETs
----  --------  ---------  --------
0-1   Low       Low        Avg 
2     Low       Avg        High 
3+    Avg       High       High </t>
      </text>
    </comment>
    <comment ref="N2" authorId="0" shapeId="0">
      <text>
        <t>EO Complexity:
FTRs  1-5  DETs  6-19 DETs  20+ DETs
----  ---------  ---------  --------
0-1   Low        Low        Avg
2-3   Low        Avg        High
4+    Avg        High       High</t>
      </text>
    </comment>
    <comment ref="Q2" authorId="0" shapeId="0">
      <text>
        <t xml:space="preserve">EQ Complexity:
FTRs  1-5  DETs  6-19 DETs  20+ DETs
----  ---------  ---------  --------
0-1   Low        Low        Avg
2-3   Low        Avg        High 
4+    Avg        High       High </t>
      </text>
    </comment>
  </commentList>
</comments>
</file>

<file path=xl/comments/comment2.xml><?xml version="1.0" encoding="utf-8"?>
<comments xmlns="http://schemas.openxmlformats.org/spreadsheetml/2006/main">
  <authors>
    <author>Unknown Author</author>
  </authors>
  <commentList>
    <comment ref="C9" authorId="0" shapeId="0">
      <text>
        <t>Very Low/Low: 
- Little to moderate experience of working with similar projects.
- Moderate understanding of project objectives and business needs
- Extensive need for new Operational process or Hardware.
Nominal/High:
- Considerable experience of working with similar projects.
- Considerable understanding of project objectives and business needs
- Moderate need for new Operational process or Hardware.
Very High/Extra High:
- Extensive experience of working with similar projects.
- Thorough understanding of project objectives and business needs
- Little or no need for new Operational process or Hardware.</t>
      </text>
    </comment>
    <comment ref="C10" authorId="0" shapeId="0">
      <text>
        <t>Very Low/Low: 
- Full compliance with pre-established requirements
- Full compliance with External Interface Specifications
Nominal/Very High:
- Considerable with pre-established requirements
- Considerable with External Interface Specifications
Very High/Extra High:
- Basic compliance with pre-established requirements
- Basic compliance with External Interface Specifications</t>
      </text>
    </comment>
    <comment ref="C12" authorId="0" shapeId="0">
      <text>
        <t>Very Low/Low: 
- Little or no Risk Management is required for the project
- Simple Architecture requiring less time in Design
Nominal/Very High:
- Considerable Risk Management is required for the project
- Moderately Complex Architecture requiring more time in Design and requires some usage of latest frameworks
Very High/Extra High:
- Extensive Risk Management is required for the project
- Complex Architecture requiring a lot of time in Design and requires use of latest frameworks</t>
      </text>
    </comment>
    <comment ref="C16" authorId="0" shapeId="0">
      <text>
        <t>Extra Low: 
- Easily recoverable losses in case of system failure
- Very low documentation needs
- Very Simple code with low algorithmic complexity
- Project size is 0 to 200 FP
Very Low/Low: 
- Slight inconvenience or easily recoverable losses in case of system failure
- Very low to low documentation needs
- Simple code with low algorithmic complexity
- 200&lt;FP&lt;1000, less than 500 fp is very low
Nominal:
- Moderate inconvenience or recoverable losses in case of system failure
- Normal documentation needs i.e. creation routine documents for different life-cycle phases
- Moderately complex code. May have IO Processing, Nested logical structures stc.
- 1000&lt;FP&lt;5000
High:
- High financial losses in case of system failure
- Excessive documentation required
- Complex code. Having complex nested logic, Encryption-Decryption or other complex code structures.
- 5000&lt;FP&lt;10000
Very High:
- Risk to human life in case of system failure
- Very Excessive documentation required
- Very Complex code. Having complex nested logic, Encryption-Decryption or other complex code structures.
- 10000&lt;FP</t>
      </text>
    </comment>
    <comment ref="C17" authorId="0" shapeId="0">
      <text>
        <t>Extra Low/Very Low/Low: 
- No Reusability requirements
Nominal:
- Reusable components need to be created within the scope of the application i.e. certain reusable components need to be created which will be used by all other modules within this application
High/Very High:
- Reusable components need to be created within for multiple application within a suite of applications
Extra High:
- Reusable components need to be created for all application. These components might need to be designed like services using SOA or web services concepts.</t>
      </text>
    </comment>
    <comment ref="C18" authorId="0" shapeId="0">
      <text>
        <t>NOTE: Measure on DEV and Internal Test Platform
Extra Low/Very Low/Low: 
- Major Changes every 12 month
- Minor Changes every month
Nominal:
- Major Changes every 6 month
- Minor Changes every 2 week
High:
- Major Changes every 2 month
- Minor Changes every 1 week
Very High/Extra High:
- Major Changes every 2 month
- Minor Changes every 2 days</t>
      </text>
    </comment>
    <comment ref="C19" authorId="0" shapeId="0">
      <text>
        <t>NOTE: Calculate team proficiency in percentage using the following guideline and than calculate rating.
Experience &gt; 5 year = 100%
Experience &gt; 3 year = 90%
Experience &gt; 2 year = 80%
Experience &gt; 1 year = 70%
Experience &gt; 9 month = 60%
Experience &gt; 6 month = 50%
Experience &gt; 3 month = 40%
Experience &lt; 3 month = 25%
Extra Low &lt; 35%
Very Low &gt;= 35%
Low&gt;= 45%
Nominal &gt;= 55%
High &gt;= 65%
Very High &gt;= 75%
Extra High &gt;= 85%</t>
      </text>
    </comment>
    <comment ref="C20" authorId="0" shapeId="0">
      <text>
        <t>NOTE: Count experience with similar technology, language and tool. Take teams Average Experience
Extra Low
- Less than 3 month
Very Low
- More than 3 month
Low: 
- More than 6 month
Nominal:
- More than 9 month
High:
- More than 1 year
Very High
- More than 2 year
Extra High:
- More than 3 year</t>
      </text>
    </comment>
    <comment ref="C21" authorId="0" shapeId="0">
      <text>
        <t>Extra Low:
- No tools IDEs and related tools are available for supporting development
Very Low:
- IDEs are being used to support front-end and back-end development.
Low:
- Some already developed supporting frameworks are available to help develop few things quickly e.g. struts
Nominal: 
- Tools are available that generate code to a certain extent but that code then needs to further worked on a lot before it goes to development. Wise wig and related drap-drop event based developed which provides widgets tools etc. fall in this category
High/Very High/Extra High:
- Tools generate code to a greater extent</t>
      </text>
    </comment>
    <comment ref="C22" authorId="0" shapeId="0">
      <text>
        <t>Extra Low/Very Low/Low/Nominal: 
- Reasonable time is allocated to project and there no or little schedule pressure
High:
- Project has to finished in 85% time of normal schedule
Very High/Extra High:
- Project has to finished in 75% time of normal schedule</t>
      </text>
    </comment>
  </commentList>
</comments>
</file>

<file path=xl/externalLinks/_rels/externalLink1.xml.rels><Relationships xmlns="http://schemas.openxmlformats.org/package/2006/relationships"><Relationship Type="http://schemas.openxmlformats.org/officeDocument/2006/relationships/externalLinkPath" Target="../../home/cricro/tiny-projects/documents/2026-B/cas-lab-turno-e-grupo-1/l4/guide/Estimation%20Sheet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Document Info"/>
      <sheetName val="Size Estimation"/>
      <sheetName val="Effort Estimation"/>
      <sheetName val="Total Project Effort"/>
      <sheetName val="Assumptions, Risks"/>
      <sheetName val="Unadjusted Size"/>
      <sheetName val="Adjusted Size"/>
      <sheetName val="Project Effort"/>
      <sheetName val="Effort Breakdown"/>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filterMode="0">
    <tabColor rgb="FFFFFF99"/>
    <outlinePr summaryBelow="1" summaryRight="1"/>
    <pageSetUpPr fitToPage="0"/>
  </sheetPr>
  <dimension ref="A1:E23"/>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9.0546875" defaultRowHeight="12.75" customHeight="0" zeroHeight="0" outlineLevelRow="0"/>
  <cols>
    <col width="19.99" customWidth="1" style="122" min="1" max="2"/>
    <col width="9.85" customWidth="1" style="122" min="3" max="3"/>
  </cols>
  <sheetData>
    <row r="1" ht="15" customHeight="1" s="123">
      <c r="A1" s="124" t="inlineStr">
        <is>
          <t>FP Units</t>
        </is>
      </c>
    </row>
    <row r="2" ht="26.25" customHeight="1" s="123">
      <c r="A2" s="125" t="inlineStr">
        <is>
          <t>Function</t>
        </is>
      </c>
      <c r="B2" s="125" t="inlineStr">
        <is>
          <t>Complexity</t>
        </is>
      </c>
      <c r="C2" s="126" t="inlineStr">
        <is>
          <t>FPs</t>
        </is>
      </c>
    </row>
    <row r="3" ht="12.75" customHeight="1" s="123">
      <c r="A3" s="127" t="inlineStr">
        <is>
          <t>ILF</t>
        </is>
      </c>
      <c r="B3" s="128" t="inlineStr">
        <is>
          <t>Simple</t>
        </is>
      </c>
      <c r="C3" s="129" t="n">
        <v>7</v>
      </c>
    </row>
    <row r="4" ht="12.75" customHeight="1" s="123">
      <c r="A4" s="130" t="n"/>
      <c r="B4" s="128" t="inlineStr">
        <is>
          <t>Avarage</t>
        </is>
      </c>
      <c r="C4" s="129" t="n">
        <v>10</v>
      </c>
    </row>
    <row r="5" ht="12.75" customHeight="1" s="123">
      <c r="A5" s="131" t="n"/>
      <c r="B5" s="128" t="inlineStr">
        <is>
          <t>Complex</t>
        </is>
      </c>
      <c r="C5" s="129" t="n">
        <v>15</v>
      </c>
    </row>
    <row r="6" ht="12.75" customHeight="1" s="123">
      <c r="A6" s="127" t="inlineStr">
        <is>
          <t>EIF</t>
        </is>
      </c>
      <c r="B6" s="128" t="inlineStr">
        <is>
          <t>Simple</t>
        </is>
      </c>
      <c r="C6" s="129" t="n">
        <v>5</v>
      </c>
    </row>
    <row r="7" ht="12.75" customHeight="1" s="123">
      <c r="A7" s="130" t="n"/>
      <c r="B7" s="128" t="inlineStr">
        <is>
          <t>Average</t>
        </is>
      </c>
      <c r="C7" s="129" t="n">
        <v>7</v>
      </c>
    </row>
    <row r="8" ht="12.75" customHeight="1" s="123">
      <c r="A8" s="131" t="n"/>
      <c r="B8" s="128" t="inlineStr">
        <is>
          <t>Complex</t>
        </is>
      </c>
      <c r="C8" s="129" t="n">
        <v>10</v>
      </c>
    </row>
    <row r="9" ht="12.75" customHeight="1" s="123">
      <c r="A9" s="127" t="inlineStr">
        <is>
          <t>EI</t>
        </is>
      </c>
      <c r="B9" s="128" t="inlineStr">
        <is>
          <t>Simple</t>
        </is>
      </c>
      <c r="C9" s="129" t="n">
        <v>3</v>
      </c>
    </row>
    <row r="10" ht="12.75" customHeight="1" s="123">
      <c r="A10" s="130" t="n"/>
      <c r="B10" s="128" t="inlineStr">
        <is>
          <t>Average</t>
        </is>
      </c>
      <c r="C10" s="129" t="n">
        <v>4</v>
      </c>
    </row>
    <row r="11" ht="12.75" customHeight="1" s="123">
      <c r="A11" s="131" t="n"/>
      <c r="B11" s="128" t="inlineStr">
        <is>
          <t>Complex</t>
        </is>
      </c>
      <c r="C11" s="129" t="n">
        <v>6</v>
      </c>
    </row>
    <row r="12" ht="12.75" customHeight="1" s="123">
      <c r="A12" s="127" t="inlineStr">
        <is>
          <t>EO</t>
        </is>
      </c>
      <c r="B12" s="128" t="inlineStr">
        <is>
          <t>Simple</t>
        </is>
      </c>
      <c r="C12" s="129" t="n">
        <v>4</v>
      </c>
    </row>
    <row r="13" ht="12.75" customHeight="1" s="123">
      <c r="A13" s="130" t="n"/>
      <c r="B13" s="128" t="inlineStr">
        <is>
          <t>Average</t>
        </is>
      </c>
      <c r="C13" s="129" t="n">
        <v>5</v>
      </c>
    </row>
    <row r="14" ht="12.75" customHeight="1" s="123">
      <c r="A14" s="131" t="n"/>
      <c r="B14" s="128" t="inlineStr">
        <is>
          <t>Complex</t>
        </is>
      </c>
      <c r="C14" s="129" t="n">
        <v>7</v>
      </c>
      <c r="D14" s="132" t="n"/>
      <c r="E14" s="132" t="n"/>
    </row>
    <row r="15" ht="12.75" customHeight="1" s="123">
      <c r="A15" s="127" t="inlineStr">
        <is>
          <t>EQ</t>
        </is>
      </c>
      <c r="B15" s="128" t="inlineStr">
        <is>
          <t>Simple</t>
        </is>
      </c>
      <c r="C15" s="129" t="n">
        <v>3</v>
      </c>
      <c r="D15" s="122" t="n"/>
      <c r="E15" s="122" t="n"/>
    </row>
    <row r="16" ht="12.75" customHeight="1" s="123">
      <c r="A16" s="130" t="n"/>
      <c r="B16" s="128" t="inlineStr">
        <is>
          <t>Average</t>
        </is>
      </c>
      <c r="C16" s="129" t="n">
        <v>4</v>
      </c>
      <c r="D16" s="122" t="n"/>
      <c r="E16" s="122" t="n"/>
    </row>
    <row r="17" ht="12.75" customHeight="1" s="123">
      <c r="A17" s="131" t="n"/>
      <c r="B17" s="128" t="inlineStr">
        <is>
          <t>Complex</t>
        </is>
      </c>
      <c r="C17" s="129" t="n">
        <v>6</v>
      </c>
      <c r="D17" s="122" t="n"/>
      <c r="E17" s="122" t="n"/>
    </row>
    <row r="18" ht="12.75" customHeight="1" s="123">
      <c r="A18" s="133" t="n"/>
      <c r="B18" s="122" t="n"/>
      <c r="C18" s="122" t="n"/>
      <c r="D18" s="122" t="n"/>
      <c r="E18" s="122" t="n"/>
    </row>
    <row r="19" ht="12.75" customHeight="1" s="123">
      <c r="A19" s="133" t="n"/>
      <c r="B19" s="122" t="n"/>
      <c r="C19" s="122" t="n"/>
      <c r="D19" s="122" t="n"/>
      <c r="E19" s="122" t="n"/>
    </row>
    <row r="20" ht="12.75" customHeight="1" s="123">
      <c r="A20" s="133" t="n"/>
      <c r="B20" s="122" t="n"/>
      <c r="C20" s="122" t="n"/>
      <c r="D20" s="122" t="n"/>
      <c r="E20" s="122" t="n"/>
    </row>
    <row r="21" ht="12.75" customHeight="1" s="123">
      <c r="A21" s="133" t="n"/>
      <c r="B21" s="122" t="n"/>
      <c r="C21" s="122" t="n"/>
      <c r="D21" s="122" t="n"/>
      <c r="E21" s="122" t="n"/>
    </row>
    <row r="22" ht="12.75" customHeight="1" s="123">
      <c r="A22" s="133" t="n"/>
      <c r="B22" s="122" t="n"/>
      <c r="C22" s="122" t="n"/>
      <c r="D22" s="122" t="n"/>
      <c r="E22" s="122" t="n"/>
    </row>
    <row r="23" ht="12.75" customHeight="1" s="123">
      <c r="A23" s="133" t="n"/>
      <c r="B23" s="122" t="n"/>
      <c r="C23" s="122" t="n"/>
      <c r="D23" s="122" t="n"/>
      <c r="E23" s="122" t="n"/>
    </row>
  </sheetData>
  <mergeCells count="5">
    <mergeCell ref="A12:A14"/>
    <mergeCell ref="A3:A5"/>
    <mergeCell ref="A15:A17"/>
    <mergeCell ref="A6:A8"/>
    <mergeCell ref="A9:A1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M52"/>
  <sheetViews>
    <sheetView showFormulas="0" showGridLines="1" showRowColHeaders="1" showZeros="1" rightToLeft="0" tabSelected="1" showOutlineSymbols="1" defaultGridColor="1" view="normal" topLeftCell="A1" colorId="64" zoomScale="90" zoomScaleNormal="90" zoomScalePageLayoutView="100" workbookViewId="0">
      <selection pane="topLeft" activeCell="A1" activeCellId="0" sqref="A1"/>
    </sheetView>
  </sheetViews>
  <sheetFormatPr baseColWidth="8" defaultColWidth="9.0546875" defaultRowHeight="12.75" customHeight="0" zeroHeight="0" outlineLevelRow="0"/>
  <cols>
    <col width="7.28" customWidth="1" style="122" min="1" max="1"/>
    <col width="1.99" customWidth="1" style="122" min="2" max="2"/>
    <col width="10.99" customWidth="1" style="122" min="3" max="3"/>
    <col width="10.41" customWidth="1" style="122" min="5" max="5"/>
    <col width="13.14" customWidth="1" style="122" min="6" max="6"/>
    <col width="5.71" customWidth="1" style="122" min="7" max="7"/>
    <col width="9.279999999999999" customWidth="1" style="122" min="8" max="9"/>
    <col width="15.7" customWidth="1" style="122" min="10" max="10"/>
    <col width="30.28" customWidth="1" style="122" min="11" max="11"/>
  </cols>
  <sheetData>
    <row r="1" ht="13.5" customHeight="1" s="123"/>
    <row r="2" ht="47.25" customHeight="1" s="123">
      <c r="B2" s="122" t="n"/>
      <c r="C2" s="134" t="inlineStr">
        <is>
          <t>Anexo 1: Cajero automatico y gestion de pedidos (CAS LAB04)</t>
        </is>
      </c>
      <c r="D2" s="135" t="n"/>
      <c r="E2" s="135" t="n"/>
      <c r="F2" s="135" t="n"/>
      <c r="G2" s="135" t="n"/>
      <c r="H2" s="135" t="n"/>
      <c r="I2" s="135" t="n"/>
      <c r="J2" s="135" t="n"/>
      <c r="K2" s="136" t="n"/>
      <c r="L2" s="122" t="n"/>
      <c r="M2" s="122" t="n"/>
    </row>
    <row r="3" ht="15.75" customHeight="1" s="123">
      <c r="B3" s="122" t="n"/>
      <c r="C3" s="137" t="n"/>
      <c r="E3" s="122" t="n"/>
      <c r="F3" s="122" t="n"/>
      <c r="G3" s="122" t="n"/>
      <c r="H3" s="122" t="n"/>
      <c r="I3" s="122" t="n"/>
      <c r="J3" s="122" t="n"/>
      <c r="K3" s="122" t="n"/>
      <c r="L3" s="122" t="n"/>
      <c r="M3" s="122" t="n"/>
    </row>
    <row r="4" ht="13.5" customHeight="1" s="123"/>
    <row r="5" ht="12.75" customHeight="1" s="123">
      <c r="C5" s="138" t="inlineStr">
        <is>
          <t>COCOMO II Estimation Sheet</t>
        </is>
      </c>
      <c r="D5" s="139" t="n"/>
      <c r="E5" s="139" t="n"/>
      <c r="F5" s="139" t="n"/>
      <c r="G5" s="139" t="n"/>
      <c r="H5" s="139" t="n"/>
      <c r="I5" s="139" t="n"/>
      <c r="J5" s="139" t="n"/>
      <c r="K5" s="140" t="n"/>
    </row>
    <row r="6" ht="12.75" customHeight="1" s="123">
      <c r="C6" s="141" t="n"/>
      <c r="K6" s="142" t="n"/>
    </row>
    <row r="7" ht="13.5" customHeight="1" s="123">
      <c r="C7" s="143" t="n"/>
      <c r="D7" s="144" t="n"/>
      <c r="E7" s="144" t="n"/>
      <c r="F7" s="144" t="n"/>
      <c r="G7" s="144" t="n"/>
      <c r="H7" s="144" t="n"/>
      <c r="I7" s="144" t="n"/>
      <c r="J7" s="144" t="n"/>
      <c r="K7" s="145" t="n"/>
    </row>
    <row r="9" ht="13.5" customHeight="1" s="123"/>
    <row r="10" ht="13.5" customHeight="1" s="123">
      <c r="C10" s="146" t="inlineStr">
        <is>
          <t>1 Document Information</t>
        </is>
      </c>
      <c r="D10" s="135" t="n"/>
      <c r="E10" s="135" t="n"/>
      <c r="F10" s="135" t="n"/>
      <c r="G10" s="135" t="n"/>
      <c r="H10" s="135" t="n"/>
      <c r="I10" s="135" t="n"/>
      <c r="J10" s="135" t="n"/>
      <c r="K10" s="136" t="n"/>
    </row>
    <row r="11" ht="12.75" customHeight="1" s="123">
      <c r="C11" s="147" t="inlineStr">
        <is>
          <t>Title</t>
        </is>
      </c>
      <c r="D11" s="148" t="inlineStr">
        <is>
          <t>Anexo 1: Cajero automatico y gestion de pedidos</t>
        </is>
      </c>
      <c r="E11" s="149" t="n"/>
      <c r="F11" s="149" t="n"/>
      <c r="G11" s="150" t="n"/>
      <c r="H11" s="151" t="inlineStr">
        <is>
          <t>Version</t>
        </is>
      </c>
      <c r="I11" s="152" t="n"/>
      <c r="J11" s="153" t="n">
        <v>0.1</v>
      </c>
      <c r="K11" s="154" t="n"/>
    </row>
    <row r="12" ht="12.75" customHeight="1" s="123">
      <c r="C12" s="155" t="inlineStr">
        <is>
          <t>Project</t>
        </is>
      </c>
      <c r="D12" s="156" t="inlineStr">
        <is>
          <t>Curso Calidad de Software</t>
        </is>
      </c>
      <c r="E12" s="157" t="n"/>
      <c r="F12" s="157" t="n"/>
      <c r="G12" s="158" t="n"/>
      <c r="H12" s="126" t="inlineStr">
        <is>
          <t>Status</t>
        </is>
      </c>
      <c r="I12" s="158" t="n"/>
      <c r="J12" s="159" t="inlineStr">
        <is>
          <t xml:space="preserve">Draft/Reviewed/Approved </t>
        </is>
      </c>
      <c r="K12" s="160" t="n"/>
    </row>
    <row r="13" ht="12.75" customHeight="1" s="123">
      <c r="C13" s="155" t="inlineStr">
        <is>
          <t xml:space="preserve">Client </t>
        </is>
      </c>
      <c r="D13" s="156" t="inlineStr">
        <is>
          <t>Curso Calidad de Software</t>
        </is>
      </c>
      <c r="E13" s="157" t="n"/>
      <c r="F13" s="157" t="n"/>
      <c r="G13" s="158" t="n"/>
      <c r="H13" s="126" t="inlineStr">
        <is>
          <t>Type</t>
        </is>
      </c>
      <c r="I13" s="158" t="n"/>
      <c r="J13" s="159" t="inlineStr">
        <is>
          <t>Document</t>
        </is>
      </c>
      <c r="K13" s="160" t="n"/>
    </row>
    <row r="14" ht="12.75" customHeight="1" s="123">
      <c r="C14" s="155" t="inlineStr">
        <is>
          <t>Rec #</t>
        </is>
      </c>
      <c r="D14" s="156" t="inlineStr">
        <is>
          <t>Christian Raul Mestas Zegarra</t>
        </is>
      </c>
      <c r="E14" s="157" t="n"/>
      <c r="F14" s="157" t="n"/>
      <c r="G14" s="158" t="n"/>
      <c r="H14" s="126" t="inlineStr">
        <is>
          <t>Created</t>
        </is>
      </c>
      <c r="I14" s="158" t="n"/>
      <c r="J14" s="159" t="n">
        <v>46293</v>
      </c>
      <c r="K14" s="160" t="n"/>
    </row>
    <row r="15" ht="13.5" customHeight="1" s="123">
      <c r="C15" s="161" t="inlineStr">
        <is>
          <t>Author</t>
        </is>
      </c>
      <c r="D15" s="162" t="inlineStr">
        <is>
          <t>Christian Raul Mestas Zegarra</t>
        </is>
      </c>
      <c r="E15" s="163" t="n"/>
      <c r="F15" s="163" t="n"/>
      <c r="G15" s="164" t="n"/>
      <c r="H15" s="165" t="inlineStr">
        <is>
          <t>Updated</t>
        </is>
      </c>
      <c r="I15" s="164" t="n"/>
      <c r="J15" s="166" t="n">
        <v>46293</v>
      </c>
      <c r="K15" s="167" t="n"/>
    </row>
    <row r="16" ht="13.5" customHeight="1" s="123">
      <c r="C16" s="168" t="n"/>
      <c r="D16" s="168" t="n"/>
      <c r="E16" s="168" t="n"/>
      <c r="F16" s="168" t="n"/>
      <c r="G16" s="168" t="n"/>
      <c r="H16" s="168" t="n"/>
      <c r="I16" s="168" t="n"/>
      <c r="J16" s="168" t="n"/>
      <c r="K16" s="168" t="n"/>
    </row>
    <row r="17" ht="13.5" customHeight="1" s="123">
      <c r="C17" s="146" t="inlineStr">
        <is>
          <t>1.1 Revision History</t>
        </is>
      </c>
      <c r="D17" s="135" t="n"/>
      <c r="E17" s="135" t="n"/>
      <c r="F17" s="135" t="n"/>
      <c r="G17" s="135" t="n"/>
      <c r="H17" s="135" t="n"/>
      <c r="I17" s="135" t="n"/>
      <c r="J17" s="135" t="n"/>
      <c r="K17" s="136" t="n"/>
    </row>
    <row r="18" ht="25.5" customHeight="1" s="123">
      <c r="C18" s="169" t="inlineStr">
        <is>
          <t>Ver. #</t>
        </is>
      </c>
      <c r="D18" s="170" t="inlineStr">
        <is>
          <t>Revision Date</t>
        </is>
      </c>
      <c r="E18" s="152" t="n"/>
      <c r="F18" s="151" t="inlineStr">
        <is>
          <t>Author</t>
        </is>
      </c>
      <c r="G18" s="170" t="inlineStr">
        <is>
          <t>Distribution Date</t>
        </is>
      </c>
      <c r="H18" s="152" t="n"/>
      <c r="I18" s="170" t="inlineStr">
        <is>
          <t>Change Ref.</t>
        </is>
      </c>
      <c r="J18" s="171" t="inlineStr">
        <is>
          <t xml:space="preserve">Brief Description </t>
        </is>
      </c>
      <c r="K18" s="172" t="n"/>
    </row>
    <row r="19" ht="12.75" customHeight="1" s="123">
      <c r="C19" s="173" t="n">
        <v>0.1</v>
      </c>
      <c r="D19" s="174" t="n">
        <v>46293</v>
      </c>
      <c r="E19" s="158" t="n"/>
      <c r="F19" s="175" t="n"/>
      <c r="G19" s="174" t="n">
        <v>46293</v>
      </c>
      <c r="H19" s="158" t="n"/>
      <c r="I19" s="176" t="n"/>
      <c r="J19" s="177" t="n"/>
      <c r="K19" s="160" t="n"/>
    </row>
    <row r="20" ht="12.75" customHeight="1" s="123">
      <c r="C20" s="173" t="n"/>
      <c r="D20" s="174" t="n"/>
      <c r="E20" s="158" t="n"/>
      <c r="F20" s="175" t="n"/>
      <c r="G20" s="174" t="n"/>
      <c r="H20" s="158" t="n"/>
      <c r="I20" s="176" t="n"/>
      <c r="J20" s="177" t="n"/>
      <c r="K20" s="160" t="n"/>
    </row>
    <row r="21" ht="12.75" customHeight="1" s="123">
      <c r="C21" s="173" t="n"/>
      <c r="D21" s="174" t="n"/>
      <c r="E21" s="158" t="n"/>
      <c r="F21" s="175" t="n"/>
      <c r="G21" s="174" t="n"/>
      <c r="H21" s="158" t="n"/>
      <c r="I21" s="176" t="n"/>
      <c r="J21" s="177" t="n"/>
      <c r="K21" s="160" t="n"/>
    </row>
    <row r="22" ht="12.75" customHeight="1" s="123">
      <c r="C22" s="173" t="n"/>
      <c r="D22" s="174" t="n"/>
      <c r="E22" s="158" t="n"/>
      <c r="F22" s="175" t="n"/>
      <c r="G22" s="174" t="n"/>
      <c r="H22" s="158" t="n"/>
      <c r="I22" s="176" t="n"/>
      <c r="J22" s="177" t="n"/>
      <c r="K22" s="160" t="n"/>
    </row>
    <row r="23" ht="13.5" customHeight="1" s="123">
      <c r="C23" s="178" t="n"/>
      <c r="D23" s="179" t="n"/>
      <c r="E23" s="164" t="n"/>
      <c r="F23" s="180" t="n"/>
      <c r="G23" s="179" t="n"/>
      <c r="H23" s="164" t="n"/>
      <c r="I23" s="181" t="n"/>
      <c r="J23" s="182" t="n"/>
      <c r="K23" s="167" t="n"/>
    </row>
    <row r="24" ht="13.5" customHeight="1" s="123">
      <c r="C24" s="168" t="n"/>
      <c r="D24" s="168" t="n"/>
      <c r="E24" s="168" t="n"/>
      <c r="F24" s="168" t="n"/>
      <c r="G24" s="168" t="n"/>
      <c r="H24" s="168" t="n"/>
      <c r="I24" s="168" t="n"/>
      <c r="J24" s="168" t="n"/>
      <c r="K24" s="168" t="n"/>
    </row>
    <row r="25" ht="13.5" customHeight="1" s="123">
      <c r="C25" s="183" t="inlineStr">
        <is>
          <t>1.2 Distribution List</t>
        </is>
      </c>
      <c r="D25" s="139" t="n"/>
      <c r="E25" s="139" t="n"/>
      <c r="F25" s="139" t="n"/>
      <c r="G25" s="139" t="n"/>
      <c r="H25" s="139" t="n"/>
      <c r="I25" s="139" t="n"/>
      <c r="J25" s="139" t="n"/>
      <c r="K25" s="140" t="n"/>
    </row>
    <row r="26" ht="12.75" customHeight="1" s="123">
      <c r="C26" s="184" t="inlineStr">
        <is>
          <t>&lt;DevMgr&gt;</t>
        </is>
      </c>
      <c r="D26" s="185" t="n"/>
      <c r="E26" s="185" t="n"/>
      <c r="F26" s="185" t="n"/>
      <c r="G26" s="185" t="n"/>
      <c r="H26" s="185" t="n"/>
      <c r="I26" s="185" t="n"/>
      <c r="J26" s="185" t="n"/>
      <c r="K26" s="172" t="n"/>
    </row>
    <row r="27" ht="12.75" customHeight="1" s="123">
      <c r="C27" s="186" t="inlineStr">
        <is>
          <t>&lt;Company Contact Person&gt;</t>
        </is>
      </c>
      <c r="D27" s="157" t="n"/>
      <c r="E27" s="157" t="n"/>
      <c r="F27" s="157" t="n"/>
      <c r="G27" s="157" t="n"/>
      <c r="H27" s="157" t="n"/>
      <c r="I27" s="157" t="n"/>
      <c r="J27" s="157" t="n"/>
      <c r="K27" s="160" t="n"/>
    </row>
    <row r="28" ht="13.5" customHeight="1" s="123">
      <c r="C28" s="187" t="inlineStr">
        <is>
          <t>&lt;Project Team&gt;</t>
        </is>
      </c>
      <c r="D28" s="163" t="n"/>
      <c r="E28" s="163" t="n"/>
      <c r="F28" s="163" t="n"/>
      <c r="G28" s="163" t="n"/>
      <c r="H28" s="163" t="n"/>
      <c r="I28" s="163" t="n"/>
      <c r="J28" s="163" t="n"/>
      <c r="K28" s="167" t="n"/>
    </row>
    <row r="29" ht="13.5" customHeight="1" s="123">
      <c r="C29" s="168" t="n"/>
      <c r="D29" s="168" t="n"/>
      <c r="E29" s="168" t="n"/>
      <c r="F29" s="168" t="n"/>
      <c r="G29" s="168" t="n"/>
      <c r="H29" s="168" t="n"/>
      <c r="I29" s="168" t="n"/>
      <c r="J29" s="168" t="n"/>
      <c r="K29" s="168" t="n"/>
    </row>
    <row r="30" ht="13.5" customHeight="1" s="123">
      <c r="C30" s="146" t="inlineStr">
        <is>
          <t>1.3 Review and Approvals</t>
        </is>
      </c>
      <c r="D30" s="135" t="n"/>
      <c r="E30" s="135" t="n"/>
      <c r="F30" s="135" t="n"/>
      <c r="G30" s="135" t="n"/>
      <c r="H30" s="135" t="n"/>
      <c r="I30" s="135" t="n"/>
      <c r="J30" s="135" t="n"/>
      <c r="K30" s="136" t="n"/>
    </row>
    <row r="31" ht="12.75" customHeight="1" s="123">
      <c r="C31" s="188" t="inlineStr">
        <is>
          <t>Approved By / (Role)</t>
        </is>
      </c>
      <c r="D31" s="185" t="n"/>
      <c r="E31" s="152" t="n"/>
      <c r="F31" s="170" t="inlineStr">
        <is>
          <t>Reviewed By / (Role)</t>
        </is>
      </c>
      <c r="G31" s="185" t="n"/>
      <c r="H31" s="185" t="n"/>
      <c r="I31" s="152" t="n"/>
      <c r="J31" s="171" t="inlineStr">
        <is>
          <t>Version #</t>
        </is>
      </c>
      <c r="K31" s="172" t="n"/>
    </row>
    <row r="32" ht="12.75" customHeight="1" s="123">
      <c r="C32" s="189" t="n"/>
      <c r="D32" s="157" t="n"/>
      <c r="E32" s="158" t="n"/>
      <c r="F32" s="190" t="n"/>
      <c r="G32" s="157" t="n"/>
      <c r="H32" s="157" t="n"/>
      <c r="I32" s="158" t="n"/>
      <c r="J32" s="191" t="n"/>
      <c r="K32" s="160" t="n"/>
    </row>
    <row r="33" ht="13.5" customHeight="1" s="123">
      <c r="C33" s="192" t="n"/>
      <c r="D33" s="163" t="n"/>
      <c r="E33" s="164" t="n"/>
      <c r="F33" s="193" t="n"/>
      <c r="G33" s="163" t="n"/>
      <c r="H33" s="163" t="n"/>
      <c r="I33" s="164" t="n"/>
      <c r="J33" s="194" t="n"/>
      <c r="K33" s="167" t="n"/>
    </row>
    <row r="34" ht="12.75" customHeight="1" s="123">
      <c r="C34" s="168" t="n"/>
      <c r="D34" s="168" t="n"/>
      <c r="E34" s="168" t="n"/>
      <c r="F34" s="168" t="n"/>
      <c r="G34" s="168" t="n"/>
      <c r="H34" s="168" t="n"/>
      <c r="I34" s="168" t="n"/>
      <c r="J34" s="168" t="n"/>
      <c r="K34" s="168" t="n"/>
    </row>
    <row r="35" ht="12.75" customHeight="1" s="123">
      <c r="C35" s="168" t="n"/>
      <c r="D35" s="168" t="n"/>
      <c r="E35" s="168" t="n"/>
      <c r="F35" s="168" t="n"/>
      <c r="G35" s="168" t="n"/>
      <c r="H35" s="168" t="n"/>
      <c r="I35" s="168" t="n"/>
      <c r="J35" s="168" t="n"/>
      <c r="K35" s="168" t="n"/>
    </row>
    <row r="36" ht="12.75" customHeight="1" s="123">
      <c r="C36" s="168" t="n"/>
      <c r="D36" s="168" t="n"/>
      <c r="E36" s="168" t="n"/>
      <c r="F36" s="168" t="n"/>
      <c r="G36" s="168" t="n"/>
      <c r="H36" s="168" t="n"/>
      <c r="I36" s="168" t="n"/>
      <c r="J36" s="168" t="n"/>
      <c r="K36" s="168" t="n"/>
    </row>
    <row r="37" ht="12.75" customHeight="1" s="123">
      <c r="C37" s="168" t="n"/>
      <c r="D37" s="168" t="n"/>
      <c r="E37" s="168" t="n"/>
      <c r="F37" s="168" t="n"/>
      <c r="G37" s="168" t="n"/>
      <c r="H37" s="168" t="n"/>
      <c r="I37" s="168" t="n"/>
      <c r="J37" s="168" t="n"/>
      <c r="K37" s="168" t="n"/>
    </row>
    <row r="38" ht="12.75" customHeight="1" s="123">
      <c r="C38" s="168" t="n"/>
      <c r="D38" s="168" t="n"/>
      <c r="E38" s="168" t="n"/>
      <c r="F38" s="168" t="n"/>
      <c r="G38" s="168" t="n"/>
      <c r="H38" s="168" t="n"/>
      <c r="I38" s="168" t="n"/>
      <c r="J38" s="168" t="n"/>
      <c r="K38" s="168" t="n"/>
    </row>
    <row r="39" ht="12.75" customHeight="1" s="123">
      <c r="C39" s="168" t="n"/>
      <c r="D39" s="168" t="n"/>
      <c r="E39" s="168" t="n"/>
      <c r="F39" s="168" t="n"/>
      <c r="G39" s="168" t="n"/>
      <c r="H39" s="168" t="n"/>
      <c r="I39" s="168" t="n"/>
      <c r="J39" s="168" t="n"/>
      <c r="K39" s="168" t="n"/>
    </row>
    <row r="40" ht="12.75" customHeight="1" s="123">
      <c r="C40" s="168" t="n"/>
      <c r="D40" s="168" t="n"/>
      <c r="E40" s="168" t="n"/>
      <c r="F40" s="168" t="n"/>
      <c r="G40" s="168" t="n"/>
      <c r="H40" s="168" t="n"/>
      <c r="I40" s="168" t="n"/>
      <c r="J40" s="168" t="n"/>
      <c r="K40" s="168" t="n"/>
    </row>
    <row r="41" ht="12.75" customHeight="1" s="123">
      <c r="C41" s="168" t="n"/>
      <c r="D41" s="168" t="n"/>
      <c r="E41" s="168" t="n"/>
      <c r="F41" s="168" t="n"/>
      <c r="G41" s="168" t="n"/>
      <c r="H41" s="168" t="n"/>
      <c r="I41" s="168" t="n"/>
      <c r="J41" s="168" t="n"/>
      <c r="K41" s="168" t="n"/>
    </row>
    <row r="42" ht="12.75" customHeight="1" s="123">
      <c r="C42" s="168" t="n"/>
      <c r="D42" s="168" t="n"/>
      <c r="E42" s="168" t="n"/>
      <c r="F42" s="168" t="n"/>
      <c r="G42" s="168" t="n"/>
      <c r="H42" s="168" t="n"/>
      <c r="I42" s="168" t="n"/>
      <c r="J42" s="168" t="n"/>
      <c r="K42" s="168" t="n"/>
    </row>
    <row r="43" ht="12.75" customHeight="1" s="123">
      <c r="C43" s="168" t="n"/>
      <c r="D43" s="168" t="n"/>
      <c r="E43" s="168" t="n"/>
      <c r="F43" s="168" t="n"/>
      <c r="G43" s="168" t="n"/>
      <c r="H43" s="168" t="n"/>
      <c r="I43" s="168" t="n"/>
      <c r="J43" s="168" t="n"/>
      <c r="K43" s="168" t="n"/>
    </row>
    <row r="44" ht="12.75" customHeight="1" s="123">
      <c r="C44" s="168" t="n"/>
      <c r="D44" s="168" t="n"/>
      <c r="E44" s="168" t="n"/>
      <c r="F44" s="168" t="n"/>
      <c r="G44" s="168" t="n"/>
      <c r="H44" s="168" t="n"/>
      <c r="I44" s="168" t="n"/>
      <c r="J44" s="168" t="n"/>
      <c r="K44" s="168" t="n"/>
    </row>
    <row r="45" ht="12.75" customHeight="1" s="123">
      <c r="C45" s="168" t="n"/>
      <c r="D45" s="168" t="n"/>
      <c r="E45" s="168" t="n"/>
      <c r="F45" s="168" t="n"/>
      <c r="G45" s="168" t="n"/>
      <c r="H45" s="168" t="n"/>
      <c r="I45" s="168" t="n"/>
      <c r="J45" s="168" t="n"/>
      <c r="K45" s="168" t="n"/>
    </row>
    <row r="46" ht="12.75" customHeight="1" s="123">
      <c r="C46" s="168" t="n"/>
      <c r="D46" s="168" t="n"/>
      <c r="E46" s="168" t="n"/>
      <c r="F46" s="168" t="n"/>
      <c r="G46" s="168" t="n"/>
      <c r="H46" s="168" t="n"/>
      <c r="I46" s="168" t="n"/>
      <c r="J46" s="168" t="n"/>
      <c r="K46" s="168" t="n"/>
    </row>
    <row r="47" ht="12.75" customHeight="1" s="123">
      <c r="C47" s="168" t="n"/>
      <c r="D47" s="168" t="n"/>
      <c r="E47" s="168" t="n"/>
      <c r="F47" s="168" t="n"/>
      <c r="G47" s="168" t="n"/>
      <c r="H47" s="168" t="n"/>
      <c r="I47" s="168" t="n"/>
      <c r="J47" s="168" t="n"/>
      <c r="K47" s="168" t="n"/>
    </row>
    <row r="48" ht="12.75" customHeight="1" s="123">
      <c r="C48" s="168" t="n"/>
      <c r="D48" s="168" t="n"/>
      <c r="E48" s="168" t="n"/>
      <c r="F48" s="168" t="n"/>
      <c r="G48" s="168" t="n"/>
      <c r="H48" s="168" t="n"/>
      <c r="I48" s="168" t="n"/>
      <c r="J48" s="168" t="n"/>
      <c r="K48" s="168" t="n"/>
    </row>
    <row r="49" ht="12.75" customHeight="1" s="123">
      <c r="C49" s="168" t="n"/>
      <c r="D49" s="168" t="n"/>
      <c r="E49" s="168" t="n"/>
      <c r="F49" s="168" t="n"/>
      <c r="G49" s="168" t="n"/>
      <c r="H49" s="168" t="n"/>
      <c r="I49" s="168" t="n"/>
      <c r="J49" s="168" t="n"/>
      <c r="K49" s="168" t="n"/>
    </row>
    <row r="50" ht="12.75" customHeight="1" s="123">
      <c r="C50" s="168" t="n"/>
      <c r="D50" s="168" t="n"/>
      <c r="E50" s="168" t="n"/>
      <c r="F50" s="168" t="n"/>
      <c r="G50" s="168" t="n"/>
      <c r="H50" s="168" t="n"/>
      <c r="I50" s="168" t="n"/>
      <c r="J50" s="168" t="n"/>
      <c r="K50" s="168" t="n"/>
    </row>
    <row r="51" ht="12.75" customHeight="1" s="123">
      <c r="C51" s="168" t="n"/>
      <c r="D51" s="168" t="n"/>
      <c r="E51" s="168" t="n"/>
      <c r="F51" s="168" t="n"/>
      <c r="G51" s="168" t="n"/>
      <c r="H51" s="168" t="n"/>
      <c r="I51" s="168" t="n"/>
      <c r="J51" s="168" t="n"/>
      <c r="K51" s="168" t="n"/>
    </row>
    <row r="52" ht="12.75" customHeight="1" s="123">
      <c r="C52" s="168" t="n"/>
      <c r="D52" s="168" t="n"/>
      <c r="E52" s="168" t="n"/>
      <c r="F52" s="168" t="n"/>
      <c r="G52" s="168" t="n"/>
      <c r="H52" s="168" t="n"/>
      <c r="I52" s="168" t="n"/>
      <c r="J52" s="168" t="n"/>
      <c r="K52" s="168" t="n"/>
    </row>
  </sheetData>
  <mergeCells count="51">
    <mergeCell ref="D20:E20"/>
    <mergeCell ref="G21:H21"/>
    <mergeCell ref="F31:I31"/>
    <mergeCell ref="C25:K25"/>
    <mergeCell ref="C10:K10"/>
    <mergeCell ref="D12:G12"/>
    <mergeCell ref="D19:E19"/>
    <mergeCell ref="C31:E31"/>
    <mergeCell ref="J14:K14"/>
    <mergeCell ref="J19:K19"/>
    <mergeCell ref="D15:G15"/>
    <mergeCell ref="D22:E22"/>
    <mergeCell ref="G23:H23"/>
    <mergeCell ref="J13:K13"/>
    <mergeCell ref="D14:G14"/>
    <mergeCell ref="D21:E21"/>
    <mergeCell ref="C2:K2"/>
    <mergeCell ref="C27:K27"/>
    <mergeCell ref="G22:H22"/>
    <mergeCell ref="J15:K15"/>
    <mergeCell ref="G19:H19"/>
    <mergeCell ref="C17:K17"/>
    <mergeCell ref="G18:H18"/>
    <mergeCell ref="C32:E32"/>
    <mergeCell ref="H11:I11"/>
    <mergeCell ref="J11:K11"/>
    <mergeCell ref="J20:K20"/>
    <mergeCell ref="C28:K28"/>
    <mergeCell ref="J32:K32"/>
    <mergeCell ref="D11:G11"/>
    <mergeCell ref="D13:G13"/>
    <mergeCell ref="D18:E18"/>
    <mergeCell ref="J22:K22"/>
    <mergeCell ref="H13:I13"/>
    <mergeCell ref="J31:K31"/>
    <mergeCell ref="F33:I33"/>
    <mergeCell ref="H14:I14"/>
    <mergeCell ref="C30:K30"/>
    <mergeCell ref="F32:I32"/>
    <mergeCell ref="H12:I12"/>
    <mergeCell ref="G20:H20"/>
    <mergeCell ref="J21:K21"/>
    <mergeCell ref="J12:K12"/>
    <mergeCell ref="C33:E33"/>
    <mergeCell ref="H15:I15"/>
    <mergeCell ref="D23:E23"/>
    <mergeCell ref="J18:K18"/>
    <mergeCell ref="J33:K33"/>
    <mergeCell ref="C26:K26"/>
    <mergeCell ref="J23:K23"/>
    <mergeCell ref="C5:K7"/>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FFFF"/>
    <outlinePr summaryBelow="1" summaryRight="1"/>
    <pageSetUpPr fitToPage="0"/>
  </sheetPr>
  <dimension ref="B2:B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D9" activeCellId="0" sqref="D9"/>
    </sheetView>
  </sheetViews>
  <sheetFormatPr baseColWidth="8" defaultColWidth="9.0546875" defaultRowHeight="12.75" customHeight="0" zeroHeight="0" outlineLevelRow="0"/>
  <cols>
    <col width="3.99" customWidth="1" style="122" min="1" max="1"/>
    <col width="110.41" customWidth="1" style="168" min="2" max="2"/>
  </cols>
  <sheetData>
    <row r="2" ht="15" customHeight="1" s="123">
      <c r="B2" s="195" t="inlineStr">
        <is>
          <t>Introduction</t>
        </is>
      </c>
    </row>
    <row r="3" ht="39" customHeight="1" s="123">
      <c r="B3" s="196" t="inlineStr">
        <is>
          <t>TS Cocomo II based estimated sheet is a toolkit for software sizing and estimation. One can estimate the size of work using FP and SLOC. Effort is then estimated using Cocomo II. Effort can then be distributed into different project phases and the project cost is calculated. There is a Rates Sheet for selecting appropriate rate for this specific customer.</t>
        </is>
      </c>
    </row>
    <row r="4" ht="14.25" customHeight="1" s="123">
      <c r="B4" s="197" t="n"/>
    </row>
    <row r="5" ht="15" customHeight="1" s="123">
      <c r="B5" s="195" t="inlineStr">
        <is>
          <t>FP (Function Points)</t>
        </is>
      </c>
    </row>
    <row r="6" ht="25.5" customHeight="1" s="123">
      <c r="B6" s="196" t="inlineStr">
        <is>
          <t>Function points are a unit measure for software much like an hour is to measuring time, miles are to measuring distance or Celsius is to measuring temperature</t>
        </is>
      </c>
    </row>
    <row r="7" ht="14.25" customHeight="1" s="123">
      <c r="B7" s="198" t="n"/>
    </row>
    <row r="8" ht="15" customHeight="1" s="123">
      <c r="B8" s="195" t="inlineStr">
        <is>
          <t>SLOC</t>
        </is>
      </c>
    </row>
    <row r="9" ht="25.5" customHeight="1" s="123">
      <c r="B9" s="196" t="inlineStr">
        <is>
          <t>Source Line of Code, one line in a computer program. In many languages, each SLOC ends with a semicolon. SLOC is used in COCOMO as the basis for estimating software-development time.</t>
        </is>
      </c>
    </row>
    <row r="11" ht="15" customHeight="1" s="123">
      <c r="B11" s="195" t="inlineStr">
        <is>
          <t>Cocomo II</t>
        </is>
      </c>
    </row>
    <row r="12" ht="25.5" customHeight="1" s="123">
      <c r="B12" s="175" t="inlineStr">
        <is>
          <t>COCOMO is a model designed by Barry Boehm to give an estimate of the number of programmer-months it will take to develop a software product</t>
        </is>
      </c>
    </row>
    <row r="14" ht="15" customHeight="1" s="123">
      <c r="B14" s="195" t="inlineStr">
        <is>
          <t>How to estimate project size using this toolkit?</t>
        </is>
      </c>
    </row>
    <row r="15" ht="132.75" customHeight="1" s="123">
      <c r="B15" s="175" t="inlineStr">
        <is>
          <t>Pre-requisite of using this sheet is that user should have familiarity of Function Points (FP). He should be aware of FP counting rules. In the FPs sheet for each feature/component of the application estimate the count and complexity of Internal Logical Files (ILF), External Interface Files (EIF), External Inputs (EI), External Outputs (EO) and External Queries (EQ). There are 3 columns Low, Avg. and High under each category; these columns should have the count of low, average and high complexity components against each application feature. Guidelines on how to judge complexity are provided in comments of ILF, EIF and other headings at the top. Totals are automatically calculated.
If there are some features in the applications which doesn't support creation of front-end or maintenance of back-end tables then FP cannot measure its size. Example of such features is any special code libraries that are invoked on schedule or through some other means to do certain functions. For such functions estimate the lines of code in SLOC sheet. Provide feature details, the programming language it will be written in and the estimated LOC count and system will automatically calculate its FPs.</t>
        </is>
      </c>
    </row>
    <row r="17" ht="15" customHeight="1" s="123">
      <c r="B17" s="195" t="inlineStr">
        <is>
          <t>How to estimate effort using this toolkit?</t>
        </is>
      </c>
    </row>
    <row r="18" ht="76.5" customHeight="1" s="123">
      <c r="B18" s="175" t="inlineStr">
        <is>
          <t>After the FPs and SLOC is estimated go to the effort sheet and estimate the scaling factors and effort multipliers. Guidelines on how to select appropriate value for an effort multiplier or the scaling factor are provided in comments of their respective description. After you have selected the appropriate values please check the consolidated size and effort estimates below.
Now the effort is calculated and its time to break this effort into different phases of the project. Please set the percentages in the "Effort Distribution" sheet. Ensure that all percentage should sum to 100%. After setting the percentages please check the effort break-up in the "Effort Summary" sheet.</t>
        </is>
      </c>
    </row>
    <row r="20" ht="15" customHeight="1" s="123">
      <c r="B20" s="195" t="inlineStr">
        <is>
          <t>How to estimate Cost using this toolkit?</t>
        </is>
      </c>
    </row>
    <row r="21" ht="63.75" customHeight="1" s="123">
      <c r="B21" s="175" t="inlineStr">
        <is>
          <t>After the size and effort are estimated its time to estimate cost. First go to the "Rates" sheet to select primary and secondary rate factors. After selecting the factor check what is the rate tier selected by the system. If "Borderline Case" appear next to the selected rate then you should double check if the selected rate is appropriate.
After selecting the rate go to the cost sheet and adjust effort to quote. Round the effort numbers if you feel appropriate. Also check if the blended rate is appropriate and competitive.</t>
        </is>
      </c>
    </row>
    <row r="23" ht="15" customHeight="1" s="123">
      <c r="B23" s="195" t="inlineStr">
        <is>
          <t>How to estimate schedule using this toolkit?</t>
        </is>
      </c>
    </row>
    <row r="24" ht="38.25" customHeight="1" s="123">
      <c r="B24" s="175" t="inlineStr">
        <is>
          <t>After the cost estimation is complete go to the "Plan sheet" to check if the project can be finished in appropriate duration. Adjust Resources, Slacks and Other Factors and then check if the estimated project duration is appropriate and feasible to the client. If the schedule is not appropriate then re-adjust resources etc to verify if the required project duration can be achieved.</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CCFFCC"/>
    <outlinePr summaryBelow="1" summaryRight="1"/>
    <pageSetUpPr fitToPage="0"/>
  </sheetPr>
  <dimension ref="B2:W8"/>
  <sheetViews>
    <sheetView showFormulas="0" showGridLines="1" showRowColHeaders="1" showZeros="1" rightToLeft="0" tabSelected="0" showOutlineSymbols="1" defaultGridColor="1"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T8" activeCellId="0" sqref="T8"/>
    </sheetView>
  </sheetViews>
  <sheetFormatPr baseColWidth="8" defaultColWidth="9.0546875" defaultRowHeight="12.75" customHeight="0" zeroHeight="0" outlineLevelRow="0"/>
  <cols>
    <col width="4.56" customWidth="1" style="122" min="1" max="1"/>
    <col width="21.99" customWidth="1" style="199" min="2" max="2"/>
    <col width="24.13" customWidth="1" style="199" min="3" max="3"/>
    <col width="23.7" customWidth="1" style="122" min="4" max="4"/>
    <col width="4.14" customWidth="1" style="122" min="5" max="5"/>
    <col width="3.99" customWidth="1" style="122" min="6" max="6"/>
    <col width="4.7" customWidth="1" style="122" min="7" max="7"/>
    <col width="4.28" customWidth="1" style="122" min="8" max="8"/>
    <col width="3.99" customWidth="1" style="122" min="9" max="9"/>
    <col width="4.7" customWidth="1" style="122" min="10" max="10"/>
    <col width="4.28" customWidth="1" style="122" min="11" max="11"/>
    <col width="3.99" customWidth="1" style="122" min="12" max="12"/>
    <col width="4.7" customWidth="1" style="122" min="13" max="13"/>
    <col width="4.28" customWidth="1" style="122" min="14" max="14"/>
    <col width="3.99" customWidth="1" style="122" min="15" max="15"/>
    <col width="4.7" customWidth="1" style="122" min="16" max="16"/>
    <col width="4.28" customWidth="1" style="122" min="17" max="17"/>
    <col width="3.99" customWidth="1" style="122" min="18" max="18"/>
    <col width="4.7" customWidth="1" style="122" min="19" max="19"/>
    <col width="10.71" customWidth="1" style="122" min="20" max="20"/>
    <col width="11.28" customWidth="1" style="122" min="21" max="22"/>
    <col width="10.99" customWidth="1" style="122" min="23" max="23"/>
  </cols>
  <sheetData>
    <row r="2" ht="12.75" customHeight="1" s="123">
      <c r="B2" s="132" t="n"/>
      <c r="C2" s="132" t="n"/>
      <c r="D2" s="132" t="n"/>
      <c r="E2" s="200" t="inlineStr">
        <is>
          <t>ILF</t>
        </is>
      </c>
      <c r="F2" s="157" t="n"/>
      <c r="G2" s="158" t="n"/>
      <c r="H2" s="200" t="inlineStr">
        <is>
          <t>EIF</t>
        </is>
      </c>
      <c r="I2" s="157" t="n"/>
      <c r="J2" s="158" t="n"/>
      <c r="K2" s="200" t="inlineStr">
        <is>
          <t>EI</t>
        </is>
      </c>
      <c r="L2" s="157" t="n"/>
      <c r="M2" s="158" t="n"/>
      <c r="N2" s="200" t="inlineStr">
        <is>
          <t>EO</t>
        </is>
      </c>
      <c r="O2" s="157" t="n"/>
      <c r="P2" s="158" t="n"/>
      <c r="Q2" s="200" t="inlineStr">
        <is>
          <t>EQ</t>
        </is>
      </c>
      <c r="R2" s="157" t="n"/>
      <c r="S2" s="158" t="n"/>
    </row>
    <row r="3" ht="12.75" customHeight="1" s="123">
      <c r="B3" s="125" t="inlineStr">
        <is>
          <t>Features</t>
        </is>
      </c>
      <c r="C3" s="125" t="inlineStr">
        <is>
          <t>Comments</t>
        </is>
      </c>
      <c r="D3" s="125" t="inlineStr">
        <is>
          <t>Reference</t>
        </is>
      </c>
      <c r="E3" s="201" t="inlineStr">
        <is>
          <t>Low</t>
        </is>
      </c>
      <c r="F3" s="201" t="inlineStr">
        <is>
          <t>Avg</t>
        </is>
      </c>
      <c r="G3" s="201" t="inlineStr">
        <is>
          <t>High</t>
        </is>
      </c>
      <c r="H3" s="201" t="inlineStr">
        <is>
          <t>Low</t>
        </is>
      </c>
      <c r="I3" s="201" t="inlineStr">
        <is>
          <t>Avg</t>
        </is>
      </c>
      <c r="J3" s="201" t="inlineStr">
        <is>
          <t>High</t>
        </is>
      </c>
      <c r="K3" s="201" t="inlineStr">
        <is>
          <t>Low</t>
        </is>
      </c>
      <c r="L3" s="201" t="inlineStr">
        <is>
          <t>Avg</t>
        </is>
      </c>
      <c r="M3" s="201" t="inlineStr">
        <is>
          <t>High</t>
        </is>
      </c>
      <c r="N3" s="201" t="inlineStr">
        <is>
          <t>Low</t>
        </is>
      </c>
      <c r="O3" s="201" t="inlineStr">
        <is>
          <t>Avg</t>
        </is>
      </c>
      <c r="P3" s="201" t="inlineStr">
        <is>
          <t>High</t>
        </is>
      </c>
      <c r="Q3" s="201" t="inlineStr">
        <is>
          <t>Low</t>
        </is>
      </c>
      <c r="R3" s="201" t="inlineStr">
        <is>
          <t>Avg</t>
        </is>
      </c>
      <c r="S3" s="201" t="inlineStr">
        <is>
          <t>High</t>
        </is>
      </c>
      <c r="T3" s="202" t="inlineStr">
        <is>
          <t>Total FPs</t>
        </is>
      </c>
      <c r="U3" s="202" t="inlineStr">
        <is>
          <t>DEV Days</t>
        </is>
      </c>
      <c r="V3" s="202" t="inlineStr">
        <is>
          <t>DEV Hours</t>
        </is>
      </c>
      <c r="W3" s="202" t="inlineStr">
        <is>
          <t>Total Days</t>
        </is>
      </c>
    </row>
    <row r="4" ht="63.75" customHeight="1" s="123">
      <c r="B4" s="203" t="inlineStr">
        <is>
          <t>Anexo 1 Parte A: cajero automatico (retiro, deposito, transferencia y consultas)</t>
        </is>
      </c>
      <c r="C4" s="203" t="inlineStr">
        <is>
          <t>3 ILF, 2 EIF, 4 EI, 2 EO y 2 EQ de la Parte A; 76 PF</t>
        </is>
      </c>
      <c r="D4" s="203" t="n"/>
      <c r="E4" s="129" t="n">
        <v>0</v>
      </c>
      <c r="F4" s="129" t="n">
        <v>3</v>
      </c>
      <c r="G4" s="129" t="n">
        <v>0</v>
      </c>
      <c r="H4" s="129" t="n">
        <v>0</v>
      </c>
      <c r="I4" s="129" t="n">
        <v>2</v>
      </c>
      <c r="J4" s="129" t="n">
        <v>0</v>
      </c>
      <c r="K4" s="129" t="n">
        <v>0</v>
      </c>
      <c r="L4" s="129" t="n">
        <v>4</v>
      </c>
      <c r="M4" s="129" t="n">
        <v>0</v>
      </c>
      <c r="N4" s="129" t="n">
        <v>0</v>
      </c>
      <c r="O4" s="129" t="n">
        <v>2</v>
      </c>
      <c r="P4" s="129" t="n">
        <v>0</v>
      </c>
      <c r="Q4" s="129" t="n">
        <v>2</v>
      </c>
      <c r="R4" s="129" t="n">
        <v>0</v>
      </c>
      <c r="S4" s="129" t="n">
        <v>0</v>
      </c>
      <c r="T4" s="204">
        <f>SUM(($E4*'FP Units'!$C$3),($F4*'FP Units'!$C$4),($G4*'FP Units'!$C$5),($H4*'FP Units'!$C$6),($I4*'FP Units'!$C$7),($J4*'FP Units'!$C$8),($K4*'FP Units'!$C$9),($L4*'FP Units'!$C$10),($M4*'FP Units'!$C$11),($N4*'FP Units'!$C$12),($O4*'FP Units'!$C$13),($P4*'FP Units'!$C$14),($Q4*'FP Units'!$C$15),($R4*'FP Units'!$C$16),($S4*'FP Units'!$C$17))</f>
        <v/>
      </c>
      <c r="U4" s="205">
        <f>(T4/Effort!$C$38)*'Effort Summary'!$C$5</f>
        <v/>
      </c>
      <c r="V4" s="205">
        <f>ROUND(U4*8,0)</f>
        <v/>
      </c>
      <c r="W4" s="205">
        <f>(T4/Effort!$C$38)*Effort!$C$37</f>
        <v/>
      </c>
    </row>
    <row r="5" ht="89.25" customHeight="1" s="123">
      <c r="B5" s="203" t="inlineStr">
        <is>
          <t>Anexo 1 Parte B: gestion de pedidos (clientes, cuentas, productos y cobro)</t>
        </is>
      </c>
      <c r="C5" s="203" t="inlineStr">
        <is>
          <t>3 ILF, 5 EI, 2 EO y 1 EQ de la Parte B; 63 PF</t>
        </is>
      </c>
      <c r="D5" s="203" t="n"/>
      <c r="E5" s="129" t="n">
        <v>0</v>
      </c>
      <c r="F5" s="129" t="n">
        <v>3</v>
      </c>
      <c r="G5" s="129" t="n">
        <v>0</v>
      </c>
      <c r="H5" s="129" t="n">
        <v>0</v>
      </c>
      <c r="I5" s="129" t="n">
        <v>0</v>
      </c>
      <c r="J5" s="129" t="n">
        <v>0</v>
      </c>
      <c r="K5" s="129" t="n">
        <v>0</v>
      </c>
      <c r="L5" s="129" t="n">
        <v>5</v>
      </c>
      <c r="M5" s="129" t="n">
        <v>0</v>
      </c>
      <c r="N5" s="129" t="n">
        <v>0</v>
      </c>
      <c r="O5" s="129" t="n">
        <v>2</v>
      </c>
      <c r="P5" s="129" t="n">
        <v>0</v>
      </c>
      <c r="Q5" s="129" t="n">
        <v>1</v>
      </c>
      <c r="R5" s="129" t="n">
        <v>0</v>
      </c>
      <c r="S5" s="129" t="n">
        <v>0</v>
      </c>
      <c r="T5" s="204">
        <f>SUM(($E5*'FP Units'!$C$3),($F5*'FP Units'!$C$4),($G5*'FP Units'!$C$5),($H5*'FP Units'!$C$6),($I5*'FP Units'!$C$7),($J5*'FP Units'!$C$8),($K5*'FP Units'!$C$9),($L5*'FP Units'!$C$10),($M5*'FP Units'!$C$11),($N5*'FP Units'!$C$12),($O5*'FP Units'!$C$13),($P5*'FP Units'!$C$14),($Q5*'FP Units'!$C$15),($R5*'FP Units'!$C$16),($S5*'FP Units'!$C$17))</f>
        <v/>
      </c>
      <c r="U5" s="205">
        <f>(T5/Effort!$C$38)*'Effort Summary'!$C$5</f>
        <v/>
      </c>
      <c r="V5" s="205">
        <f>ROUND(U5*8,0)</f>
        <v/>
      </c>
      <c r="W5" s="205">
        <f>(T5/Effort!$C$38)*Effort!$C$37</f>
        <v/>
      </c>
    </row>
    <row r="6" ht="12.75" customHeight="1" s="123">
      <c r="B6" s="202" t="inlineStr">
        <is>
          <t>Total Anexo 1 (Parte A + Parte B)</t>
        </is>
      </c>
      <c r="C6" s="202" t="n"/>
      <c r="D6" s="202" t="n"/>
      <c r="E6" s="204">
        <f>SUM(E4:E5)</f>
        <v/>
      </c>
      <c r="F6" s="204">
        <f>SUM(F4:F5)</f>
        <v/>
      </c>
      <c r="G6" s="204">
        <f>SUM(G4:G5)</f>
        <v/>
      </c>
      <c r="H6" s="204">
        <f>SUM(H4:H5)</f>
        <v/>
      </c>
      <c r="I6" s="204">
        <f>SUM(I4:I5)</f>
        <v/>
      </c>
      <c r="J6" s="204">
        <f>SUM(J4:J5)</f>
        <v/>
      </c>
      <c r="K6" s="204">
        <f>SUM(K4:K5)</f>
        <v/>
      </c>
      <c r="L6" s="204">
        <f>SUM(L4:L5)</f>
        <v/>
      </c>
      <c r="M6" s="204">
        <f>SUM(M4:M5)</f>
        <v/>
      </c>
      <c r="N6" s="204">
        <f>SUM(N4:N5)</f>
        <v/>
      </c>
      <c r="O6" s="204">
        <f>SUM(O4:O5)</f>
        <v/>
      </c>
      <c r="P6" s="204">
        <f>SUM(P4:P5)</f>
        <v/>
      </c>
      <c r="Q6" s="204">
        <f>SUM(Q4:Q5)</f>
        <v/>
      </c>
      <c r="R6" s="204">
        <f>SUM(R4:R5)</f>
        <v/>
      </c>
      <c r="S6" s="204">
        <f>SUM(S4:S5)</f>
        <v/>
      </c>
      <c r="U6" s="206">
        <f>SUM(U4:U5)</f>
        <v/>
      </c>
      <c r="V6" s="206">
        <f>SUM(V4:V5)</f>
        <v/>
      </c>
      <c r="W6" s="206">
        <f>SUM(W4:W5)</f>
        <v/>
      </c>
    </row>
    <row r="8" ht="12.75" customHeight="1" s="123">
      <c r="B8" s="207" t="inlineStr">
        <is>
          <t>Total FP</t>
        </is>
      </c>
      <c r="C8" s="208">
        <f>SUM(T4:T5)</f>
        <v/>
      </c>
    </row>
  </sheetData>
  <mergeCells count="5">
    <mergeCell ref="E2:G2"/>
    <mergeCell ref="K2:M2"/>
    <mergeCell ref="N2:P2"/>
    <mergeCell ref="H2:J2"/>
    <mergeCell ref="Q2:S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tabColor rgb="FFCCFFCC"/>
    <outlinePr summaryBelow="1" summaryRight="1"/>
    <pageSetUpPr fitToPage="0"/>
  </sheetPr>
  <dimension ref="B2:I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4" activeCellId="0" sqref="H4"/>
    </sheetView>
  </sheetViews>
  <sheetFormatPr baseColWidth="8" defaultColWidth="9.0546875" defaultRowHeight="12.75" customHeight="0" zeroHeight="0" outlineLevelRow="0"/>
  <cols>
    <col width="4.85" customWidth="1" style="122" min="1" max="1"/>
    <col width="20.85" customWidth="1" style="122" min="2" max="2"/>
    <col width="33.14" customWidth="1" style="122" min="3" max="3"/>
    <col width="11.13" customWidth="1" style="122" min="4" max="4"/>
    <col width="9.41" customWidth="1" style="122" min="5" max="5"/>
    <col width="15.28" customWidth="1" style="122" min="6" max="6"/>
    <col width="11.56" customWidth="1" style="122" min="9" max="9"/>
  </cols>
  <sheetData>
    <row r="2" ht="12.75" customHeight="1" s="123">
      <c r="B2" s="125" t="inlineStr">
        <is>
          <t>Features</t>
        </is>
      </c>
      <c r="C2" s="125" t="inlineStr">
        <is>
          <t>Comments</t>
        </is>
      </c>
      <c r="D2" s="125" t="inlineStr">
        <is>
          <t>Reference</t>
        </is>
      </c>
      <c r="E2" s="201" t="inlineStr">
        <is>
          <t>Language</t>
        </is>
      </c>
      <c r="F2" s="201" t="inlineStr">
        <is>
          <t>Estimated SLOC</t>
        </is>
      </c>
      <c r="G2" s="202" t="inlineStr">
        <is>
          <t>Total FPs</t>
        </is>
      </c>
      <c r="H2" s="202" t="inlineStr">
        <is>
          <t>Dev Days</t>
        </is>
      </c>
      <c r="I2" s="202" t="inlineStr">
        <is>
          <t>Total Days</t>
        </is>
      </c>
    </row>
    <row r="3" ht="12.75" customHeight="1" s="123">
      <c r="B3" s="209" t="inlineStr">
        <is>
          <t>Sin SLOC directo: tamano derivado de puntos de funcion del Anexo 1</t>
        </is>
      </c>
      <c r="C3" s="210" t="n"/>
      <c r="D3" s="211" t="n"/>
      <c r="E3" s="129" t="inlineStr">
        <is>
          <t>Java,JSP,J2EE</t>
        </is>
      </c>
      <c r="F3" s="129" t="n">
        <v>0</v>
      </c>
      <c r="G3" s="212">
        <f>$F3/VLOOKUP($E3,Backfiring!$A$2:Backfiring!$B$10,2,FALSE())</f>
        <v/>
      </c>
      <c r="H3" s="204">
        <f>(G3/Effort!$C$38)*'Effort Summary'!$C$5</f>
        <v/>
      </c>
      <c r="I3" s="204">
        <f>(G3/Effort!$C$38)*Effort!$C$37</f>
        <v/>
      </c>
    </row>
    <row r="4" ht="12.75" customHeight="1" s="123">
      <c r="B4" s="202" t="inlineStr">
        <is>
          <t>Total:</t>
        </is>
      </c>
      <c r="C4" s="157" t="n"/>
      <c r="D4" s="157" t="n"/>
      <c r="E4" s="158" t="n"/>
      <c r="F4" s="208">
        <f>SUM(F3)</f>
        <v/>
      </c>
      <c r="G4" s="213">
        <f>SUM(G3)</f>
        <v/>
      </c>
      <c r="H4" s="204">
        <f>(G4/Effort!$C$38)*'Effort Summary'!$C$6</f>
        <v/>
      </c>
      <c r="I4" s="204">
        <f>(G4/Effort!$C$38)*Effort!$C$37</f>
        <v/>
      </c>
    </row>
  </sheetData>
  <mergeCells count="1">
    <mergeCell ref="B4:E4"/>
  </mergeCells>
  <dataValidations count="1">
    <dataValidation sqref="E3" showDropDown="0" showInputMessage="0" showErrorMessage="1" allowBlank="1" type="list" errorStyle="stop" operator="between">
      <formula1>language</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FFFF99"/>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9" activeCellId="0" sqref="A9"/>
    </sheetView>
  </sheetViews>
  <sheetFormatPr baseColWidth="8" defaultColWidth="9.0546875" defaultRowHeight="12.75" customHeight="0" zeroHeight="0" outlineLevelRow="0"/>
  <cols>
    <col width="23.7" customWidth="1" style="122" min="1" max="1"/>
    <col width="34.13" customWidth="1" style="122" min="3" max="3"/>
  </cols>
  <sheetData>
    <row r="1" ht="12.75" customHeight="1" s="123">
      <c r="A1" s="125" t="inlineStr">
        <is>
          <t>Language/Technology</t>
        </is>
      </c>
      <c r="B1" s="125" t="inlineStr">
        <is>
          <t>SLOC</t>
        </is>
      </c>
    </row>
    <row r="2" ht="12.75" customHeight="1" s="123">
      <c r="A2" s="129" t="inlineStr">
        <is>
          <t>C++</t>
        </is>
      </c>
      <c r="B2" s="129" t="n">
        <v>60</v>
      </c>
    </row>
    <row r="3" ht="12.75" customHeight="1" s="123">
      <c r="A3" s="129" t="inlineStr">
        <is>
          <t>C#</t>
        </is>
      </c>
      <c r="B3" s="129" t="n">
        <v>59</v>
      </c>
    </row>
    <row r="4" ht="12.75" customHeight="1" s="123">
      <c r="A4" s="129" t="inlineStr">
        <is>
          <t>Java,JSP,J2EE</t>
        </is>
      </c>
      <c r="B4" s="129" t="n">
        <v>60</v>
      </c>
      <c r="C4" s="122" t="inlineStr">
        <is>
          <t>Average of three</t>
        </is>
      </c>
    </row>
    <row r="5" ht="12.75" customHeight="1" s="123">
      <c r="A5" s="129" t="inlineStr">
        <is>
          <t>Excel</t>
        </is>
      </c>
      <c r="B5" s="129" t="n">
        <v>47</v>
      </c>
    </row>
    <row r="6" ht="12.75" customHeight="1" s="123">
      <c r="A6" s="129" t="inlineStr">
        <is>
          <t>JavaScript</t>
        </is>
      </c>
      <c r="B6" s="129" t="n">
        <v>56</v>
      </c>
    </row>
    <row r="7" ht="12.75" customHeight="1" s="123">
      <c r="A7" s="129" t="inlineStr">
        <is>
          <t>HTML</t>
        </is>
      </c>
      <c r="B7" s="129" t="n">
        <v>43</v>
      </c>
    </row>
    <row r="8" ht="12.75" customHeight="1" s="123">
      <c r="A8" s="129" t="inlineStr">
        <is>
          <t>Visual Basic</t>
        </is>
      </c>
      <c r="B8" s="129" t="n">
        <v>50</v>
      </c>
    </row>
    <row r="9" ht="12.75" customHeight="1" s="123">
      <c r="A9" s="129" t="inlineStr">
        <is>
          <t>PLSQL/SQL</t>
        </is>
      </c>
      <c r="B9" s="129" t="n">
        <v>42</v>
      </c>
      <c r="C9" s="122" t="inlineStr">
        <is>
          <t>Average of both</t>
        </is>
      </c>
    </row>
    <row r="10" ht="12.75" customHeight="1" s="123">
      <c r="A10" s="129" t="inlineStr">
        <is>
          <t>VB Script</t>
        </is>
      </c>
      <c r="B10" s="129" t="n">
        <v>45</v>
      </c>
    </row>
    <row r="12" ht="12.75" customHeight="1" s="123">
      <c r="A12" s="214" t="inlineStr">
        <is>
          <t>NOTE: Above Numbers are Taken from http://www.qsm.com/FPGearing.html. Average values are taken</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99CCFF"/>
    <outlinePr summaryBelow="1" summaryRight="1"/>
    <pageSetUpPr fitToPage="0"/>
  </sheetPr>
  <dimension ref="A1:I5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12" activeCellId="0" sqref="D12"/>
    </sheetView>
  </sheetViews>
  <sheetFormatPr baseColWidth="8" defaultColWidth="9.0546875" defaultRowHeight="12.75" customHeight="0" zeroHeight="0" outlineLevelRow="0"/>
  <cols>
    <col width="3.99" customWidth="1" style="122" min="1" max="1"/>
    <col width="16.13" customWidth="1" style="122" min="2" max="2"/>
    <col width="22.56" customWidth="1" style="122" min="3" max="3"/>
    <col width="14.41" customWidth="1" style="122" min="4" max="4"/>
    <col width="7.7" customWidth="1" style="122" min="5" max="5"/>
    <col width="76.41" customWidth="1" style="122" min="6" max="6"/>
  </cols>
  <sheetData>
    <row r="1" ht="15" customHeight="1" s="123">
      <c r="B1" s="124" t="inlineStr">
        <is>
          <t>Cocomo II</t>
        </is>
      </c>
    </row>
    <row r="2" ht="15" customHeight="1" s="123">
      <c r="B2" s="124" t="n"/>
    </row>
    <row r="3" ht="15" customHeight="1" s="123">
      <c r="B3" s="124" t="inlineStr">
        <is>
          <t>PM = A*Size^E*Product(All Effort Multipliers - EM)</t>
        </is>
      </c>
    </row>
    <row r="4" ht="15" customHeight="1" s="123">
      <c r="B4" s="124" t="inlineStr">
        <is>
          <t>Exponent E = B+(0.01*SUM(Scaling Factors))</t>
        </is>
      </c>
    </row>
    <row r="5" ht="15" customHeight="1" s="123">
      <c r="B5" s="124" t="n"/>
    </row>
    <row r="6" ht="15" customHeight="1" s="123">
      <c r="B6" s="124" t="inlineStr">
        <is>
          <t>Scaling Factors</t>
        </is>
      </c>
    </row>
    <row r="7" ht="12.75" customHeight="1" s="123">
      <c r="B7" s="125" t="inlineStr">
        <is>
          <t>SF</t>
        </is>
      </c>
      <c r="C7" s="125" t="inlineStr">
        <is>
          <t>Description</t>
        </is>
      </c>
      <c r="D7" s="125" t="inlineStr">
        <is>
          <t>Level</t>
        </is>
      </c>
      <c r="E7" s="125" t="inlineStr">
        <is>
          <t>Value</t>
        </is>
      </c>
      <c r="F7" s="125" t="inlineStr">
        <is>
          <t>Instructions/Comments</t>
        </is>
      </c>
    </row>
    <row r="8" ht="12.75" customHeight="1" s="123">
      <c r="B8" s="215" t="inlineStr">
        <is>
          <t>Maturity</t>
        </is>
      </c>
      <c r="C8" s="216" t="inlineStr">
        <is>
          <t>Process Maturity</t>
        </is>
      </c>
      <c r="D8" s="209" t="inlineStr">
        <is>
          <t>Nominal</t>
        </is>
      </c>
      <c r="E8" s="217">
        <f>VLOOKUP($D8,$B$42:$G$47,6,FALSE())</f>
        <v/>
      </c>
      <c r="F8" s="175" t="inlineStr">
        <is>
          <t>Recommended values for CMMi level 2 companies is Nominal. For Level 3 its High</t>
        </is>
      </c>
    </row>
    <row r="9" ht="51" customHeight="1" s="123">
      <c r="B9" s="215" t="inlineStr">
        <is>
          <t>PREC</t>
        </is>
      </c>
      <c r="C9" s="216" t="inlineStr">
        <is>
          <t>Experience of similar Projects</t>
        </is>
      </c>
      <c r="D9" s="209" t="inlineStr">
        <is>
          <t>Low</t>
        </is>
      </c>
      <c r="E9" s="217">
        <f>VLOOKUP($D9,$B$42:$G$47,2,FALSE())</f>
        <v/>
      </c>
      <c r="F9" s="175" t="inlineStr">
        <is>
          <t>For Projects of new domain (that is domain we have not worked on) always select low. Select Nominal or High for projects that we are creating from scratch but we have some knowledge about domain. Select very high or extremely high for Next Releases of existing projects</t>
        </is>
      </c>
    </row>
    <row r="10" ht="25.5" customHeight="1" s="123">
      <c r="B10" s="215" t="inlineStr">
        <is>
          <t>FLEX</t>
        </is>
      </c>
      <c r="C10" s="216" t="inlineStr">
        <is>
          <t>Flexibility required in the System</t>
        </is>
      </c>
      <c r="D10" s="209" t="inlineStr">
        <is>
          <t>Nominal</t>
        </is>
      </c>
      <c r="E10" s="217">
        <f>VLOOKUP($D10,$B$42:$G$47,3,FALSE())</f>
        <v/>
      </c>
      <c r="F10" s="175" t="inlineStr">
        <is>
          <t>We usually use Nominal but check comments on description for details</t>
        </is>
      </c>
    </row>
    <row r="11" ht="25.5" customHeight="1" s="123">
      <c r="B11" s="215" t="inlineStr">
        <is>
          <t>TEAM</t>
        </is>
      </c>
      <c r="C11" s="216" t="inlineStr">
        <is>
          <t>Team Cohesiveness</t>
        </is>
      </c>
      <c r="D11" s="209" t="inlineStr">
        <is>
          <t>High</t>
        </is>
      </c>
      <c r="E11" s="217">
        <f>VLOOKUP($D11,$B$42:$G$47,4,FALSE())</f>
        <v/>
      </c>
      <c r="F11" s="175" t="inlineStr">
        <is>
          <t>Team Cohesiveness is always extremely high in projects where team is small and not distributed across the globe</t>
        </is>
      </c>
    </row>
    <row r="12" ht="27" customHeight="1" s="123">
      <c r="B12" s="215" t="inlineStr">
        <is>
          <t>RESL</t>
        </is>
      </c>
      <c r="C12" s="216" t="inlineStr">
        <is>
          <t>Project Risk and Architectural Complexity</t>
        </is>
      </c>
      <c r="D12" s="209" t="inlineStr">
        <is>
          <t>Nominal</t>
        </is>
      </c>
      <c r="E12" s="217">
        <f>VLOOKUP($D12,$B$42:$G$47,5,FALSE())</f>
        <v/>
      </c>
      <c r="F12" s="175" t="inlineStr">
        <is>
          <t>We usually use Nominal but check comments on description for details</t>
        </is>
      </c>
    </row>
    <row r="13" ht="12.75" customHeight="1" s="123">
      <c r="B13" s="199" t="n"/>
      <c r="C13" s="218" t="n"/>
      <c r="D13" s="199" t="n"/>
      <c r="E13" s="199" t="n"/>
    </row>
    <row r="14" ht="15" customHeight="1" s="123">
      <c r="B14" s="124" t="inlineStr">
        <is>
          <t>Effort Multiplier EM</t>
        </is>
      </c>
      <c r="C14" s="218" t="n"/>
      <c r="D14" s="199" t="n"/>
      <c r="E14" s="199" t="n"/>
    </row>
    <row r="15" ht="12.75" customHeight="1" s="123">
      <c r="B15" s="125" t="inlineStr">
        <is>
          <t>EM</t>
        </is>
      </c>
      <c r="C15" s="125" t="inlineStr">
        <is>
          <t>Description</t>
        </is>
      </c>
      <c r="D15" s="125" t="inlineStr">
        <is>
          <t>Level</t>
        </is>
      </c>
      <c r="E15" s="125" t="inlineStr">
        <is>
          <t>Value</t>
        </is>
      </c>
      <c r="F15" s="125" t="inlineStr">
        <is>
          <t>Instructions/Comments</t>
        </is>
      </c>
    </row>
    <row r="16" ht="38.25" customHeight="1" s="123">
      <c r="B16" s="215" t="inlineStr">
        <is>
          <t>RCPX</t>
        </is>
      </c>
      <c r="C16" s="216" t="inlineStr">
        <is>
          <t>System reliability, complexity and size indicator</t>
        </is>
      </c>
      <c r="D16" s="209" t="inlineStr">
        <is>
          <t>Very Low</t>
        </is>
      </c>
      <c r="E16" s="217">
        <f>VLOOKUP($D16,$B$50:$I$56,2,FALSE())</f>
        <v/>
      </c>
      <c r="F16" s="175" t="inlineStr">
        <is>
          <t>The kind of projects we have in Technosoft we normally use extra low or very low. Check comments on description for details</t>
        </is>
      </c>
    </row>
    <row r="17" ht="38.25" customHeight="1" s="123">
      <c r="B17" s="215" t="inlineStr">
        <is>
          <t>RUSE</t>
        </is>
      </c>
      <c r="C17" s="216" t="inlineStr">
        <is>
          <t>Reusability concern with respect to current and future projects</t>
        </is>
      </c>
      <c r="D17" s="209" t="inlineStr">
        <is>
          <t>Low</t>
        </is>
      </c>
      <c r="E17" s="217">
        <f>VLOOKUP($D17,$B$50:$I$56,3,FALSE())</f>
        <v/>
      </c>
      <c r="F17" s="175" t="inlineStr">
        <is>
          <t>We usually use Low but check comments on description for details</t>
        </is>
      </c>
    </row>
    <row r="18" ht="12.75" customHeight="1" s="123">
      <c r="B18" s="215" t="inlineStr">
        <is>
          <t>PDIF</t>
        </is>
      </c>
      <c r="C18" s="216" t="inlineStr">
        <is>
          <t>Platform Difficulty</t>
        </is>
      </c>
      <c r="D18" s="209" t="inlineStr">
        <is>
          <t>Very Low</t>
        </is>
      </c>
      <c r="E18" s="217">
        <f>VLOOKUP($D18,$B$50:$I$56,4,FALSE())</f>
        <v/>
      </c>
      <c r="F18" s="175" t="inlineStr">
        <is>
          <t>We usually use Very Low but check comments on description for details</t>
        </is>
      </c>
    </row>
    <row r="19" ht="63.75" customHeight="1" s="123">
      <c r="B19" s="215" t="inlineStr">
        <is>
          <t>PERS</t>
        </is>
      </c>
      <c r="C19" s="216" t="inlineStr">
        <is>
          <t>Personal capability of team. Like technical capability of Programmers, Designers and testers.</t>
        </is>
      </c>
      <c r="D19" s="209" t="inlineStr">
        <is>
          <t>High</t>
        </is>
      </c>
      <c r="E19" s="217">
        <f>VLOOKUP($D19,$B$50:$I$56,5,FALSE())</f>
        <v/>
      </c>
      <c r="F19" s="175" t="inlineStr">
        <is>
          <t>We usually use High but check comments on description for details</t>
        </is>
      </c>
    </row>
    <row r="20" ht="25.5" customHeight="1" s="123">
      <c r="B20" s="215" t="inlineStr">
        <is>
          <t>PREX</t>
        </is>
      </c>
      <c r="C20" s="216" t="inlineStr">
        <is>
          <t>Application, Language and tool experience</t>
        </is>
      </c>
      <c r="D20" s="209" t="inlineStr">
        <is>
          <t>High</t>
        </is>
      </c>
      <c r="E20" s="217">
        <f>VLOOKUP($D20,$B$50:$I$56,6,FALSE())</f>
        <v/>
      </c>
      <c r="F20" s="175" t="inlineStr">
        <is>
          <t>We usually use High but check comments on description for details</t>
        </is>
      </c>
    </row>
    <row r="21" ht="25.5" customHeight="1" s="123">
      <c r="B21" s="215" t="inlineStr">
        <is>
          <t>FCIL</t>
        </is>
      </c>
      <c r="C21" s="216" t="inlineStr">
        <is>
          <t>Using Case tools for development etc</t>
        </is>
      </c>
      <c r="D21" s="209" t="inlineStr">
        <is>
          <t>High</t>
        </is>
      </c>
      <c r="E21" s="217">
        <f>VLOOKUP($D21,$B$50:$I$56,7,FALSE())</f>
        <v/>
      </c>
      <c r="F21" s="175" t="inlineStr">
        <is>
          <t>We usually use High for .NET and Nominal for java but check comments on description for details</t>
        </is>
      </c>
    </row>
    <row r="22" ht="12.75" customHeight="1" s="123">
      <c r="B22" s="215" t="inlineStr">
        <is>
          <t>SCED</t>
        </is>
      </c>
      <c r="C22" s="216" t="inlineStr">
        <is>
          <t>Schedule Pressure</t>
        </is>
      </c>
      <c r="D22" s="209" t="inlineStr">
        <is>
          <t>Nominal</t>
        </is>
      </c>
      <c r="E22" s="217">
        <f>VLOOKUP($D22,$B$50:$I$56,8,FALSE())</f>
        <v/>
      </c>
      <c r="F22" s="175" t="inlineStr">
        <is>
          <t>We usually use Nominal but check comments on description for details</t>
        </is>
      </c>
    </row>
    <row r="23" ht="15" customHeight="1" s="123">
      <c r="B23" s="124" t="n"/>
    </row>
    <row r="24" ht="12.75" customHeight="1" s="123">
      <c r="B24" s="125" t="inlineStr">
        <is>
          <t>Constants</t>
        </is>
      </c>
      <c r="C24" s="126" t="inlineStr">
        <is>
          <t>Value</t>
        </is>
      </c>
    </row>
    <row r="25" ht="12.75" customHeight="1" s="123">
      <c r="B25" s="215" t="inlineStr">
        <is>
          <t>B</t>
        </is>
      </c>
      <c r="C25" s="203" t="n">
        <v>0.91</v>
      </c>
    </row>
    <row r="26" ht="12.75" customHeight="1" s="123">
      <c r="B26" s="215" t="inlineStr">
        <is>
          <t>B2</t>
        </is>
      </c>
      <c r="C26" s="203" t="n">
        <v>1.23</v>
      </c>
    </row>
    <row r="27" ht="12.75" customHeight="1" s="123">
      <c r="B27" s="127" t="inlineStr">
        <is>
          <t>A</t>
        </is>
      </c>
      <c r="C27" s="129" t="n">
        <v>2.94</v>
      </c>
    </row>
    <row r="28" ht="12.75" customHeight="1" s="123">
      <c r="B28" s="127" t="inlineStr">
        <is>
          <t>E</t>
        </is>
      </c>
      <c r="C28" s="204">
        <f>IF((C35/1000)&lt;1,$C$26-(0.01*SUM(E8:E12)),$C$25+(0.01*SUM(E8:E12)))</f>
        <v/>
      </c>
    </row>
    <row r="29" ht="12.75" customHeight="1" s="123">
      <c r="B29" s="127" t="inlineStr">
        <is>
          <t>EM</t>
        </is>
      </c>
      <c r="C29" s="204">
        <f>PRODUCT(E16:E22)</f>
        <v/>
      </c>
    </row>
    <row r="30" ht="12.75" customHeight="1" s="123">
      <c r="A30" s="122" t="n"/>
      <c r="B30" s="133" t="n"/>
      <c r="C30" s="122" t="n"/>
      <c r="D30" s="122" t="n"/>
      <c r="E30" s="122" t="n"/>
      <c r="F30" s="122" t="n"/>
    </row>
    <row r="31" ht="15" customHeight="1" s="123">
      <c r="B31" s="219" t="inlineStr">
        <is>
          <t>Consolidated Size and Effort</t>
        </is>
      </c>
      <c r="C31" s="122" t="n"/>
    </row>
    <row r="32" ht="12.75" customHeight="1" s="123">
      <c r="B32" s="125" t="inlineStr">
        <is>
          <t>Technology</t>
        </is>
      </c>
      <c r="C32" s="220" t="inlineStr">
        <is>
          <t>Java,JSP,J2EE</t>
        </is>
      </c>
    </row>
    <row r="33" ht="25.5" customHeight="1" s="123">
      <c r="B33" s="126" t="inlineStr">
        <is>
          <t>Increase due to lifecycle</t>
        </is>
      </c>
      <c r="C33" s="221" t="n">
        <v>0</v>
      </c>
    </row>
    <row r="34" ht="12.75" customHeight="1" s="123">
      <c r="B34" s="125" t="inlineStr">
        <is>
          <t>SLOC per FP</t>
        </is>
      </c>
      <c r="C34" s="208">
        <f>VLOOKUP($C$32,Backfiring!$A$2:Backfiring!$B$10,2,FALSE())</f>
        <v/>
      </c>
    </row>
    <row r="35" ht="12.75" customHeight="1" s="123">
      <c r="B35" s="125" t="inlineStr">
        <is>
          <t>SLOC</t>
        </is>
      </c>
      <c r="C35" s="208">
        <f>($C$34*FPs!$C$8)+($C$34*SLOC!$G$4)</f>
        <v/>
      </c>
    </row>
    <row r="36" ht="12.75" customHeight="1" s="123">
      <c r="B36" s="222" t="inlineStr">
        <is>
          <t>PM</t>
        </is>
      </c>
      <c r="C36" s="213">
        <f>($C$27*POWER(($C$35/1000),$C$28)*$C$29)*(1+$C$33)</f>
        <v/>
      </c>
    </row>
    <row r="37" ht="12.75" customHeight="1" s="123">
      <c r="B37" s="222" t="inlineStr">
        <is>
          <t>Man-days</t>
        </is>
      </c>
      <c r="C37" s="213">
        <f>$C$36*19</f>
        <v/>
      </c>
    </row>
    <row r="38" ht="12.75" customHeight="1" s="123">
      <c r="B38" s="222" t="inlineStr">
        <is>
          <t>FP from LOC</t>
        </is>
      </c>
      <c r="C38" s="213">
        <f>$C$35/$C$34</f>
        <v/>
      </c>
    </row>
    <row r="39" ht="12.75" customHeight="1" s="123">
      <c r="B39" s="222" t="inlineStr">
        <is>
          <t>Hours per FP</t>
        </is>
      </c>
      <c r="C39" s="213">
        <f>($C$37*8)/$C$38</f>
        <v/>
      </c>
      <c r="D39" s="223" t="inlineStr">
        <is>
          <t>Usually this number should be between 6 to 10 hours depending upon above parameters</t>
        </is>
      </c>
      <c r="E39" s="132" t="n"/>
      <c r="F39" s="132" t="n"/>
    </row>
    <row r="40" ht="15" customHeight="1" s="123">
      <c r="B40" s="219" t="n"/>
      <c r="C40" s="122" t="n"/>
    </row>
    <row r="41" ht="12.75" customHeight="1" s="123">
      <c r="B41" s="222" t="inlineStr">
        <is>
          <t>SF Scale</t>
        </is>
      </c>
      <c r="C41" s="125" t="inlineStr">
        <is>
          <t>PREC</t>
        </is>
      </c>
      <c r="D41" s="125" t="inlineStr">
        <is>
          <t>FLEX</t>
        </is>
      </c>
      <c r="E41" s="125" t="inlineStr">
        <is>
          <t>TEAM</t>
        </is>
      </c>
      <c r="F41" s="125" t="inlineStr">
        <is>
          <t>RESL</t>
        </is>
      </c>
      <c r="G41" s="125" t="inlineStr">
        <is>
          <t>Maturity</t>
        </is>
      </c>
    </row>
    <row r="42" ht="12.75" customHeight="1" s="123">
      <c r="B42" s="224" t="inlineStr">
        <is>
          <t>Very Low</t>
        </is>
      </c>
      <c r="C42" s="225" t="n">
        <v>6.2</v>
      </c>
      <c r="D42" s="226" t="n">
        <v>0</v>
      </c>
      <c r="E42" s="226" t="n">
        <v>5.48</v>
      </c>
      <c r="F42" s="226" t="n">
        <v>0</v>
      </c>
      <c r="G42" s="226" t="n">
        <v>7.8</v>
      </c>
    </row>
    <row r="43" ht="12.75" customHeight="1" s="123">
      <c r="B43" s="224" t="inlineStr">
        <is>
          <t>Low</t>
        </is>
      </c>
      <c r="C43" s="226" t="n">
        <v>4.96</v>
      </c>
      <c r="D43" s="226" t="n">
        <v>1.01</v>
      </c>
      <c r="E43" s="226" t="n">
        <v>4.38</v>
      </c>
      <c r="F43" s="226" t="n">
        <v>1.41</v>
      </c>
      <c r="G43" s="226" t="n">
        <v>6.24</v>
      </c>
    </row>
    <row r="44" ht="12.75" customHeight="1" s="123">
      <c r="B44" s="224" t="inlineStr">
        <is>
          <t>Nominal</t>
        </is>
      </c>
      <c r="C44" s="226" t="n">
        <v>3.72</v>
      </c>
      <c r="D44" s="226" t="n">
        <v>2.03</v>
      </c>
      <c r="E44" s="226" t="n">
        <v>3.29</v>
      </c>
      <c r="F44" s="226" t="n">
        <v>2.83</v>
      </c>
      <c r="G44" s="226" t="n">
        <v>4.68</v>
      </c>
    </row>
    <row r="45" ht="12.75" customHeight="1" s="123">
      <c r="B45" s="224" t="inlineStr">
        <is>
          <t>High</t>
        </is>
      </c>
      <c r="C45" s="226" t="n">
        <v>2.48</v>
      </c>
      <c r="D45" s="226" t="n">
        <v>3.04</v>
      </c>
      <c r="E45" s="226" t="n">
        <v>2.19</v>
      </c>
      <c r="F45" s="226" t="n">
        <v>4.24</v>
      </c>
      <c r="G45" s="226" t="n">
        <v>3.12</v>
      </c>
    </row>
    <row r="46" ht="12.75" customHeight="1" s="123">
      <c r="B46" s="224" t="inlineStr">
        <is>
          <t>Very High</t>
        </is>
      </c>
      <c r="C46" s="226" t="n">
        <v>1.24</v>
      </c>
      <c r="D46" s="226" t="n">
        <v>4.05</v>
      </c>
      <c r="E46" s="226" t="n">
        <v>1.1</v>
      </c>
      <c r="F46" s="226" t="n">
        <v>5.65</v>
      </c>
      <c r="G46" s="226" t="n">
        <v>1.56</v>
      </c>
    </row>
    <row r="47" ht="12.75" customHeight="1" s="123">
      <c r="B47" s="224" t="inlineStr">
        <is>
          <t>Extremely High</t>
        </is>
      </c>
      <c r="C47" s="226" t="n">
        <v>0</v>
      </c>
      <c r="D47" s="226" t="n">
        <v>5.07</v>
      </c>
      <c r="E47" s="226" t="n">
        <v>0</v>
      </c>
      <c r="F47" s="226" t="n">
        <v>7.07</v>
      </c>
      <c r="G47" s="226" t="n">
        <v>0</v>
      </c>
    </row>
    <row r="49" ht="12.75" customHeight="1" s="123">
      <c r="B49" s="222" t="inlineStr">
        <is>
          <t>EM Scale</t>
        </is>
      </c>
      <c r="C49" s="222" t="inlineStr">
        <is>
          <t>RCPX</t>
        </is>
      </c>
      <c r="D49" s="222" t="inlineStr">
        <is>
          <t>RUSE</t>
        </is>
      </c>
      <c r="E49" s="222" t="inlineStr">
        <is>
          <t>PDIF</t>
        </is>
      </c>
      <c r="F49" s="222" t="inlineStr">
        <is>
          <t>PERS</t>
        </is>
      </c>
      <c r="G49" s="222" t="inlineStr">
        <is>
          <t>PREX</t>
        </is>
      </c>
      <c r="H49" s="222" t="inlineStr">
        <is>
          <t>FCIL</t>
        </is>
      </c>
      <c r="I49" s="222" t="inlineStr">
        <is>
          <t>SCED</t>
        </is>
      </c>
    </row>
    <row r="50" ht="12.75" customHeight="1" s="123">
      <c r="B50" s="224" t="inlineStr">
        <is>
          <t>Extra Low</t>
        </is>
      </c>
      <c r="C50" s="225" t="n">
        <v>0.49</v>
      </c>
      <c r="D50" s="225" t="n">
        <v>0.95</v>
      </c>
      <c r="E50" s="225" t="n">
        <v>0.87</v>
      </c>
      <c r="F50" s="225" t="n">
        <v>2.12</v>
      </c>
      <c r="G50" s="225" t="n">
        <v>1.59</v>
      </c>
      <c r="H50" s="225" t="n">
        <v>1.43</v>
      </c>
      <c r="I50" s="225" t="n">
        <v>1</v>
      </c>
    </row>
    <row r="51" ht="12.75" customHeight="1" s="123">
      <c r="B51" s="224" t="inlineStr">
        <is>
          <t>Very Low</t>
        </is>
      </c>
      <c r="C51" s="225" t="n">
        <v>0.6</v>
      </c>
      <c r="D51" s="225" t="n">
        <v>0.95</v>
      </c>
      <c r="E51" s="225" t="n">
        <v>0.87</v>
      </c>
      <c r="F51" s="225" t="n">
        <v>1.62</v>
      </c>
      <c r="G51" s="225" t="n">
        <v>1.33</v>
      </c>
      <c r="H51" s="225" t="n">
        <v>1.3</v>
      </c>
      <c r="I51" s="225" t="n">
        <v>1</v>
      </c>
    </row>
    <row r="52" ht="12.75" customHeight="1" s="123">
      <c r="B52" s="224" t="inlineStr">
        <is>
          <t>Low</t>
        </is>
      </c>
      <c r="C52" s="225" t="n">
        <v>0.83</v>
      </c>
      <c r="D52" s="225" t="n">
        <v>0.95</v>
      </c>
      <c r="E52" s="225" t="n">
        <v>0.87</v>
      </c>
      <c r="F52" s="225" t="n">
        <v>1.26</v>
      </c>
      <c r="G52" s="225" t="n">
        <v>1.22</v>
      </c>
      <c r="H52" s="225" t="n">
        <v>1.1</v>
      </c>
      <c r="I52" s="225" t="n">
        <v>1</v>
      </c>
    </row>
    <row r="53" ht="12.75" customHeight="1" s="123">
      <c r="B53" s="224" t="inlineStr">
        <is>
          <t>Nominal</t>
        </is>
      </c>
      <c r="C53" s="225" t="n">
        <v>1</v>
      </c>
      <c r="D53" s="225" t="n">
        <v>1</v>
      </c>
      <c r="E53" s="225" t="n">
        <v>1</v>
      </c>
      <c r="F53" s="225" t="n">
        <v>1</v>
      </c>
      <c r="G53" s="225" t="n">
        <v>1</v>
      </c>
      <c r="H53" s="225" t="n">
        <v>1</v>
      </c>
      <c r="I53" s="225" t="n">
        <v>1</v>
      </c>
    </row>
    <row r="54" ht="12.75" customHeight="1" s="123">
      <c r="B54" s="224" t="inlineStr">
        <is>
          <t>High</t>
        </is>
      </c>
      <c r="C54" s="225" t="n">
        <v>1.33</v>
      </c>
      <c r="D54" s="225" t="n">
        <v>1.07</v>
      </c>
      <c r="E54" s="225" t="n">
        <v>1.29</v>
      </c>
      <c r="F54" s="225" t="n">
        <v>0.83</v>
      </c>
      <c r="G54" s="225" t="n">
        <v>0.87</v>
      </c>
      <c r="H54" s="225" t="n">
        <v>0.87</v>
      </c>
      <c r="I54" s="225" t="n">
        <v>1.14</v>
      </c>
    </row>
    <row r="55" ht="12.75" customHeight="1" s="123">
      <c r="B55" s="224" t="inlineStr">
        <is>
          <t>Very High</t>
        </is>
      </c>
      <c r="C55" s="225" t="n">
        <v>1.91</v>
      </c>
      <c r="D55" s="225" t="n">
        <v>1.15</v>
      </c>
      <c r="E55" s="225" t="n">
        <v>1.81</v>
      </c>
      <c r="F55" s="225" t="n">
        <v>0.63</v>
      </c>
      <c r="G55" s="225" t="n">
        <v>0.74</v>
      </c>
      <c r="H55" s="225" t="n">
        <v>0.73</v>
      </c>
      <c r="I55" s="225" t="n">
        <v>1.43</v>
      </c>
    </row>
    <row r="56" ht="12.75" customHeight="1" s="123">
      <c r="B56" s="224" t="inlineStr">
        <is>
          <t>Extremely High</t>
        </is>
      </c>
      <c r="C56" s="225" t="n">
        <v>2.72</v>
      </c>
      <c r="D56" s="225" t="n">
        <v>1.24</v>
      </c>
      <c r="E56" s="225" t="n">
        <v>2.61</v>
      </c>
      <c r="F56" s="225" t="n">
        <v>0.5</v>
      </c>
      <c r="G56" s="225" t="n">
        <v>0.62</v>
      </c>
      <c r="H56" s="225" t="n">
        <v>0.62</v>
      </c>
      <c r="I56" s="225" t="n">
        <v>1.43</v>
      </c>
    </row>
  </sheetData>
  <dataValidations count="3">
    <dataValidation sqref="C32" showDropDown="0" showInputMessage="0" showErrorMessage="1" allowBlank="1" type="list" errorStyle="stop" operator="between">
      <formula1>language</formula1>
      <formula2>0</formula2>
    </dataValidation>
    <dataValidation sqref="D8:D12" showDropDown="0" showInputMessage="0" showErrorMessage="1" allowBlank="1" type="list" errorStyle="stop" operator="between">
      <formula1>SFSCALE</formula1>
      <formula2>0</formula2>
    </dataValidation>
    <dataValidation sqref="D16:D22" showDropDown="0" showInputMessage="0" showErrorMessage="1" allowBlank="1" type="list" errorStyle="stop" operator="between">
      <formula1>EMSCALE</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tabColor rgb="FFFFFF99"/>
    <outlinePr summaryBelow="1" summaryRight="1"/>
    <pageSetUpPr fitToPage="0"/>
  </sheetPr>
  <dimension ref="B1:D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G24" activeCellId="0" sqref="G24"/>
    </sheetView>
  </sheetViews>
  <sheetFormatPr baseColWidth="8" defaultColWidth="9.0546875" defaultRowHeight="12.75" customHeight="0" zeroHeight="0" outlineLevelRow="0"/>
  <cols>
    <col width="4.99" customWidth="1" style="122" min="1" max="1"/>
    <col width="26.84" customWidth="1" style="122" min="2" max="2"/>
    <col width="32.56" customWidth="1" style="122" min="3" max="3"/>
  </cols>
  <sheetData>
    <row r="1" ht="15" customHeight="1" s="123">
      <c r="B1" s="124" t="inlineStr">
        <is>
          <t>Summary Units</t>
        </is>
      </c>
    </row>
    <row r="2" ht="12.75" customHeight="1" s="123">
      <c r="B2" s="125" t="inlineStr">
        <is>
          <t>Category</t>
        </is>
      </c>
      <c r="C2" s="125" t="inlineStr">
        <is>
          <t>Percentage of Development</t>
        </is>
      </c>
    </row>
    <row r="3" ht="12.75" customHeight="1" s="123">
      <c r="B3" s="129" t="inlineStr">
        <is>
          <t>Requirements Analysis</t>
        </is>
      </c>
      <c r="C3" s="227" t="n">
        <v>0.07000000000000001</v>
      </c>
    </row>
    <row r="4" ht="12.75" customHeight="1" s="123">
      <c r="B4" s="129" t="inlineStr">
        <is>
          <t>Architecture &amp; Design</t>
        </is>
      </c>
      <c r="C4" s="227" t="n">
        <v>0.07000000000000001</v>
      </c>
    </row>
    <row r="5" ht="12.75" customHeight="1" s="123">
      <c r="B5" s="129" t="inlineStr">
        <is>
          <t>Development</t>
        </is>
      </c>
      <c r="C5" s="227" t="n">
        <v>0.38</v>
      </c>
    </row>
    <row r="6" ht="12.75" customHeight="1" s="123">
      <c r="B6" s="129" t="inlineStr">
        <is>
          <t>Customer Review Changes</t>
        </is>
      </c>
      <c r="C6" s="227" t="n">
        <v>0.1</v>
      </c>
    </row>
    <row r="7" ht="12.75" customHeight="1" s="123">
      <c r="B7" s="129" t="inlineStr">
        <is>
          <t>Test Planning</t>
        </is>
      </c>
      <c r="C7" s="227" t="n">
        <v>0.04</v>
      </c>
      <c r="D7" s="228">
        <f>SUM(C7:C9)</f>
        <v/>
      </c>
    </row>
    <row r="8" ht="12.75" customHeight="1" s="123">
      <c r="B8" s="129" t="inlineStr">
        <is>
          <t>Testing</t>
        </is>
      </c>
      <c r="C8" s="227" t="n">
        <v>0.1</v>
      </c>
      <c r="D8" s="130" t="n"/>
    </row>
    <row r="9" ht="12.75" customHeight="1" s="123">
      <c r="B9" s="129" t="inlineStr">
        <is>
          <t>Bug Fixes</t>
        </is>
      </c>
      <c r="C9" s="227" t="n">
        <v>0.1</v>
      </c>
      <c r="D9" s="131" t="n"/>
    </row>
    <row r="10" ht="12.75" customHeight="1" s="123">
      <c r="B10" s="129" t="inlineStr">
        <is>
          <t>Documentation</t>
        </is>
      </c>
      <c r="C10" s="227" t="n">
        <v>0</v>
      </c>
      <c r="D10" s="228">
        <f>SUM(C10:C12)</f>
        <v/>
      </c>
    </row>
    <row r="11" ht="12.75" customHeight="1" s="123">
      <c r="B11" s="129" t="inlineStr">
        <is>
          <t>Training</t>
        </is>
      </c>
      <c r="C11" s="227" t="n">
        <v>0</v>
      </c>
      <c r="D11" s="130" t="n"/>
    </row>
    <row r="12" ht="12.75" customHeight="1" s="123">
      <c r="B12" s="129" t="inlineStr">
        <is>
          <t xml:space="preserve">Deployment </t>
        </is>
      </c>
      <c r="C12" s="227" t="n">
        <v>0.02</v>
      </c>
      <c r="D12" s="131" t="n"/>
    </row>
    <row r="13" ht="12.75" customHeight="1" s="123">
      <c r="B13" s="129" t="inlineStr">
        <is>
          <t>Project Planning</t>
        </is>
      </c>
      <c r="C13" s="227" t="n">
        <v>0.02</v>
      </c>
      <c r="D13" s="228">
        <f>SUM(C13:C16)</f>
        <v/>
      </c>
    </row>
    <row r="14" ht="12.75" customHeight="1" s="123">
      <c r="B14" s="129" t="inlineStr">
        <is>
          <t>Project Monitoring</t>
        </is>
      </c>
      <c r="C14" s="227" t="n">
        <v>0.06</v>
      </c>
      <c r="D14" s="130" t="n"/>
    </row>
    <row r="15" ht="12.75" customHeight="1" s="123">
      <c r="B15" s="129" t="inlineStr">
        <is>
          <t>CM</t>
        </is>
      </c>
      <c r="C15" s="227" t="n">
        <v>0.02</v>
      </c>
      <c r="D15" s="130" t="n"/>
    </row>
    <row r="16" ht="12.75" customHeight="1" s="123">
      <c r="B16" s="129" t="inlineStr">
        <is>
          <t>Audits</t>
        </is>
      </c>
      <c r="C16" s="227" t="n">
        <v>0.02</v>
      </c>
      <c r="D16" s="131" t="n"/>
    </row>
    <row r="17" ht="12.75" customHeight="1" s="123">
      <c r="C17" s="229">
        <f>SUM(C3:C16)</f>
        <v/>
      </c>
    </row>
    <row r="19" ht="12.75" customHeight="1" s="123">
      <c r="B19" s="214" t="inlineStr">
        <is>
          <t>NOTE: Above numbers are estimated distribution on the basis of experience and on the basis of previous projects</t>
        </is>
      </c>
    </row>
  </sheetData>
  <mergeCells count="3">
    <mergeCell ref="D10:D12"/>
    <mergeCell ref="D7:D9"/>
    <mergeCell ref="D13:D1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FFCC99"/>
    <outlinePr summaryBelow="1" summaryRight="1"/>
    <pageSetUpPr fitToPage="0"/>
  </sheetPr>
  <dimension ref="B2:E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E6" activeCellId="0" sqref="E6"/>
    </sheetView>
  </sheetViews>
  <sheetFormatPr baseColWidth="8" defaultColWidth="9.0546875" defaultRowHeight="12.75" customHeight="0" zeroHeight="0" outlineLevelRow="0"/>
  <cols>
    <col width="4.85" customWidth="1" style="122" min="1" max="1"/>
    <col width="23.85" customWidth="1" style="122" min="2" max="2"/>
    <col width="11.7" customWidth="1" style="122" min="3" max="3"/>
    <col width="12.56" customWidth="1" style="122" min="4" max="4"/>
    <col width="36.7" customWidth="1" style="122" min="5" max="5"/>
  </cols>
  <sheetData>
    <row r="2" ht="12.75" customHeight="1" s="123">
      <c r="B2" s="125" t="inlineStr">
        <is>
          <t>Category</t>
        </is>
      </c>
      <c r="C2" s="125" t="inlineStr">
        <is>
          <t>Effort (Days)</t>
        </is>
      </c>
      <c r="D2" s="125" t="inlineStr">
        <is>
          <t>Effort (Hours)</t>
        </is>
      </c>
      <c r="E2" s="125" t="inlineStr">
        <is>
          <t>Comments/Assumptions</t>
        </is>
      </c>
    </row>
    <row r="3" ht="12.75" customHeight="1" s="123">
      <c r="B3" s="230">
        <f>'Effort Distribution'!B3</f>
        <v/>
      </c>
      <c r="C3" s="205">
        <f>'Effort Distribution'!$C3*Effort!$C$37</f>
        <v/>
      </c>
      <c r="D3" s="205">
        <f>C3*8</f>
        <v/>
      </c>
      <c r="E3" s="230" t="inlineStr">
        <is>
          <t>Requirements Analysis Hours</t>
        </is>
      </c>
    </row>
    <row r="4" ht="12.75" customHeight="1" s="123">
      <c r="B4" s="230">
        <f>'Effort Distribution'!B4</f>
        <v/>
      </c>
      <c r="C4" s="205">
        <f>'Effort Distribution'!$C4*Effort!$C$37</f>
        <v/>
      </c>
      <c r="D4" s="205">
        <f>C4*8</f>
        <v/>
      </c>
      <c r="E4" s="230" t="inlineStr">
        <is>
          <t>Architecture, FS and A&amp;D Hours</t>
        </is>
      </c>
    </row>
    <row r="5" ht="12.75" customHeight="1" s="123">
      <c r="B5" s="230">
        <f>'Effort Distribution'!B5</f>
        <v/>
      </c>
      <c r="C5" s="205">
        <f>'Effort Distribution'!$C5*Effort!$C$37</f>
        <v/>
      </c>
      <c r="D5" s="205">
        <f>C5*8</f>
        <v/>
      </c>
      <c r="E5" s="230" t="n"/>
    </row>
    <row r="6" ht="12.75" customHeight="1" s="123">
      <c r="B6" s="230">
        <f>'Effort Distribution'!B6</f>
        <v/>
      </c>
      <c r="C6" s="205">
        <f>'Effort Distribution'!$C6*Effort!$C$37</f>
        <v/>
      </c>
      <c r="D6" s="205">
        <f>C6*8</f>
        <v/>
      </c>
      <c r="E6" s="230" t="n"/>
    </row>
    <row r="7" ht="12.75" customHeight="1" s="123">
      <c r="B7" s="230">
        <f>'Effort Distribution'!B7</f>
        <v/>
      </c>
      <c r="C7" s="205">
        <f>'Effort Distribution'!$C7*Effort!$C$37</f>
        <v/>
      </c>
      <c r="D7" s="205">
        <f>C7*8</f>
        <v/>
      </c>
      <c r="E7" s="230" t="inlineStr">
        <is>
          <t>Output are Test Plan and Test Cases</t>
        </is>
      </c>
    </row>
    <row r="8" ht="12.75" customHeight="1" s="123">
      <c r="B8" s="230">
        <f>'Effort Distribution'!B8</f>
        <v/>
      </c>
      <c r="C8" s="205">
        <f>'Effort Distribution'!$C8*Effort!$C$37</f>
        <v/>
      </c>
      <c r="D8" s="205">
        <f>C8*8</f>
        <v/>
      </c>
      <c r="E8" s="230" t="inlineStr">
        <is>
          <t>Output is Test Results</t>
        </is>
      </c>
    </row>
    <row r="9" ht="12.75" customHeight="1" s="123">
      <c r="B9" s="230">
        <f>'Effort Distribution'!B9</f>
        <v/>
      </c>
      <c r="C9" s="205">
        <f>'Effort Distribution'!$C9*Effort!$C$37</f>
        <v/>
      </c>
      <c r="D9" s="205">
        <f>C9*8</f>
        <v/>
      </c>
      <c r="E9" s="230" t="n"/>
    </row>
    <row r="10" ht="25.5" customHeight="1" s="123">
      <c r="B10" s="230">
        <f>'Effort Distribution'!B10</f>
        <v/>
      </c>
      <c r="C10" s="205">
        <f>'Effort Distribution'!$C10*Effort!$C$37</f>
        <v/>
      </c>
      <c r="D10" s="205">
        <f>C10*8</f>
        <v/>
      </c>
      <c r="E10" s="230" t="inlineStr">
        <is>
          <t>Outputs are Deployment and Build Documents</t>
        </is>
      </c>
    </row>
    <row r="11" ht="12.75" customHeight="1" s="123">
      <c r="B11" s="230">
        <f>'Effort Distribution'!B11</f>
        <v/>
      </c>
      <c r="C11" s="205">
        <f>'Effort Distribution'!$C11*Effort!$C$37</f>
        <v/>
      </c>
      <c r="D11" s="205">
        <f>C11*8</f>
        <v/>
      </c>
      <c r="E11" s="230" t="n"/>
    </row>
    <row r="12" ht="12.75" customHeight="1" s="123">
      <c r="B12" s="230">
        <f>'Effort Distribution'!B12</f>
        <v/>
      </c>
      <c r="C12" s="205">
        <f>'Effort Distribution'!$C12*Effort!$C$37</f>
        <v/>
      </c>
      <c r="D12" s="205">
        <f>C12*8</f>
        <v/>
      </c>
      <c r="E12" s="230" t="inlineStr">
        <is>
          <t>Effort to deploy application</t>
        </is>
      </c>
    </row>
    <row r="13" ht="12.75" customHeight="1" s="123">
      <c r="B13" s="230">
        <f>'Effort Distribution'!B13</f>
        <v/>
      </c>
      <c r="C13" s="205">
        <f>'Effort Distribution'!$C13*Effort!$C$37</f>
        <v/>
      </c>
      <c r="D13" s="205">
        <f>C13*8</f>
        <v/>
      </c>
      <c r="E13" s="230" t="n"/>
    </row>
    <row r="14" ht="12.75" customHeight="1" s="123">
      <c r="B14" s="230">
        <f>'Effort Distribution'!B14</f>
        <v/>
      </c>
      <c r="C14" s="205">
        <f>'Effort Distribution'!$C14*Effort!$C$37</f>
        <v/>
      </c>
      <c r="D14" s="205">
        <f>C14*8</f>
        <v/>
      </c>
      <c r="E14" s="230" t="n"/>
    </row>
    <row r="15" ht="12.75" customHeight="1" s="123">
      <c r="B15" s="230">
        <f>'Effort Distribution'!B15</f>
        <v/>
      </c>
      <c r="C15" s="205">
        <f>'Effort Distribution'!$C15*Effort!$C$37</f>
        <v/>
      </c>
      <c r="D15" s="205">
        <f>C15*8</f>
        <v/>
      </c>
      <c r="E15" s="230" t="n"/>
    </row>
    <row r="16" ht="12.75" customHeight="1" s="123">
      <c r="B16" s="230">
        <f>'Effort Distribution'!B16</f>
        <v/>
      </c>
      <c r="C16" s="205">
        <f>'Effort Distribution'!$C16*Effort!$C$37</f>
        <v/>
      </c>
      <c r="D16" s="205">
        <f>C16*8</f>
        <v/>
      </c>
      <c r="E16" s="230" t="n"/>
    </row>
    <row r="17" ht="12.75" customHeight="1" s="123">
      <c r="B17" s="202" t="inlineStr">
        <is>
          <t>Total Effort</t>
        </is>
      </c>
      <c r="C17" s="206">
        <f>Effort!$C$37</f>
        <v/>
      </c>
      <c r="D17" s="206">
        <f>SUM(D3:D16)</f>
        <v/>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FF99CC"/>
    <outlinePr summaryBelow="1" summaryRight="1"/>
    <pageSetUpPr fitToPage="0"/>
  </sheetPr>
  <dimension ref="B1:G5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G7" activeCellId="0" sqref="G7"/>
    </sheetView>
  </sheetViews>
  <sheetFormatPr baseColWidth="8" defaultColWidth="9.0546875" defaultRowHeight="12.75" customHeight="0" zeroHeight="0" outlineLevelRow="0"/>
  <cols>
    <col width="3.7" customWidth="1" style="122" min="1" max="1"/>
    <col width="25.7" customWidth="1" style="122" min="2" max="2"/>
    <col width="14.14" customWidth="1" style="122" min="3" max="3"/>
    <col width="12.28" customWidth="1" style="122" min="4" max="6"/>
    <col width="11.13" customWidth="1" style="122" min="7" max="7"/>
  </cols>
  <sheetData>
    <row r="1" ht="15" customHeight="1" s="123">
      <c r="B1" s="124" t="inlineStr">
        <is>
          <t>Cost Units</t>
        </is>
      </c>
    </row>
    <row r="2" ht="12.75" customHeight="1" s="123">
      <c r="B2" s="125" t="inlineStr">
        <is>
          <t>Units</t>
        </is>
      </c>
      <c r="C2" s="125" t="inlineStr">
        <is>
          <t>per hour</t>
        </is>
      </c>
      <c r="D2" s="125" t="inlineStr">
        <is>
          <t>per days</t>
        </is>
      </c>
    </row>
    <row r="3" ht="12.75" customHeight="1" s="123">
      <c r="B3" s="129" t="inlineStr">
        <is>
          <t>Analista</t>
        </is>
      </c>
      <c r="C3" s="204" t="n">
        <v>9.4</v>
      </c>
      <c r="D3" s="204">
        <f>PRODUCT($C3,8)</f>
        <v/>
      </c>
    </row>
    <row r="4" ht="25.5" customHeight="1" s="123">
      <c r="B4" s="230" t="inlineStr">
        <is>
          <t>Desarrollador</t>
        </is>
      </c>
      <c r="C4" s="204" t="n">
        <v>9.4</v>
      </c>
      <c r="D4" s="204">
        <f>PRODUCT($C4,8)</f>
        <v/>
      </c>
    </row>
    <row r="5" ht="12.75" customHeight="1" s="123">
      <c r="B5" s="129" t="inlineStr">
        <is>
          <t>Probador</t>
        </is>
      </c>
      <c r="C5" s="204" t="n">
        <v>9.4</v>
      </c>
      <c r="D5" s="204">
        <f>PRODUCT($C5,8)</f>
        <v/>
      </c>
    </row>
    <row r="6" ht="12.75" customHeight="1" s="123">
      <c r="B6" s="129" t="inlineStr">
        <is>
          <t>Documentador</t>
        </is>
      </c>
      <c r="C6" s="204" t="n">
        <v>7.5</v>
      </c>
      <c r="D6" s="204">
        <f>PRODUCT($C6,8)</f>
        <v/>
      </c>
    </row>
    <row r="7" ht="12.75" customHeight="1" s="123">
      <c r="B7" s="129" t="inlineStr">
        <is>
          <t>Jefe de proyecto</t>
        </is>
      </c>
      <c r="C7" s="204" t="n">
        <v>11.3</v>
      </c>
      <c r="D7" s="204">
        <f>PRODUCT($C7,8)</f>
        <v/>
      </c>
    </row>
    <row r="8" ht="12.75" customHeight="1" s="123">
      <c r="B8" s="129" t="inlineStr">
        <is>
          <t>Soporte</t>
        </is>
      </c>
      <c r="C8" s="204" t="n">
        <v>5.6</v>
      </c>
      <c r="D8" s="204">
        <f>PRODUCT($C8,8)</f>
        <v/>
      </c>
    </row>
    <row r="9" ht="12.75" customHeight="1" s="123">
      <c r="B9" s="129" t="inlineStr">
        <is>
          <t>On-site Manager</t>
        </is>
      </c>
      <c r="C9" s="204" t="n">
        <v>0</v>
      </c>
      <c r="D9" s="204">
        <f>PRODUCT($C9,8)</f>
        <v/>
      </c>
    </row>
    <row r="11" ht="15" customHeight="1" s="123">
      <c r="B11" s="124" t="inlineStr">
        <is>
          <t>Discount</t>
        </is>
      </c>
      <c r="C11" s="231" t="inlineStr">
        <is>
          <t>Percentage:</t>
        </is>
      </c>
      <c r="D11" s="232" t="inlineStr">
        <is>
          <t>Comments (Reason for Discount):</t>
        </is>
      </c>
      <c r="E11" s="157" t="n"/>
      <c r="F11" s="157" t="n"/>
      <c r="G11" s="158" t="n"/>
    </row>
    <row r="12" ht="26.25" customHeight="1" s="123">
      <c r="B12" s="220" t="inlineStr">
        <is>
          <t>Discount by Dev Team:</t>
        </is>
      </c>
      <c r="C12" s="233" t="n">
        <v>0</v>
      </c>
      <c r="D12" s="234" t="inlineStr">
        <is>
          <t>Sin descuento de equipo: trabajo academico</t>
        </is>
      </c>
      <c r="E12" s="157" t="n"/>
      <c r="F12" s="157" t="n"/>
      <c r="G12" s="158" t="n"/>
    </row>
    <row r="13" ht="12.75" customHeight="1" s="123">
      <c r="B13" s="220" t="inlineStr">
        <is>
          <t>Discount by Sales Team:</t>
        </is>
      </c>
      <c r="C13" s="233" t="n">
        <v>0</v>
      </c>
      <c r="D13" s="234" t="inlineStr">
        <is>
          <t>Sin descuento comercial: trabajo academico</t>
        </is>
      </c>
      <c r="E13" s="157" t="n"/>
      <c r="F13" s="157" t="n"/>
      <c r="G13" s="158" t="n"/>
    </row>
    <row r="14" ht="12" customHeight="1" s="123">
      <c r="B14" s="235" t="inlineStr">
        <is>
          <t>Total Discount:</t>
        </is>
      </c>
      <c r="C14" s="236">
        <f>SUM(C12:C13)</f>
        <v/>
      </c>
    </row>
    <row r="16" ht="15" customHeight="1" s="123">
      <c r="B16" s="124" t="inlineStr">
        <is>
          <t>Total Project Cost</t>
        </is>
      </c>
    </row>
    <row r="17" ht="38.25" customHeight="1" s="123">
      <c r="B17" s="125" t="inlineStr">
        <is>
          <t>Category</t>
        </is>
      </c>
      <c r="C17" s="126" t="inlineStr">
        <is>
          <t>Effort (Days) Estimated</t>
        </is>
      </c>
      <c r="D17" s="126" t="inlineStr">
        <is>
          <t>Discounted Effort for Sales</t>
        </is>
      </c>
      <c r="E17" s="126" t="inlineStr">
        <is>
          <t>Rounded Effort</t>
        </is>
      </c>
      <c r="F17" s="126" t="inlineStr">
        <is>
          <t>Effort (Hours)</t>
        </is>
      </c>
      <c r="G17" s="125" t="inlineStr">
        <is>
          <t>Cost</t>
        </is>
      </c>
    </row>
    <row r="18" ht="12.75" customHeight="1" s="123">
      <c r="B18" s="237">
        <f>'Effort Summary'!B3</f>
        <v/>
      </c>
      <c r="C18" s="238">
        <f>'Effort Summary'!C3</f>
        <v/>
      </c>
      <c r="D18" s="239">
        <f>C18*(1-$C$14)</f>
        <v/>
      </c>
      <c r="E18" s="239">
        <f>CEILING(D18,0.5)</f>
        <v/>
      </c>
      <c r="F18" s="240">
        <f>E18*8</f>
        <v/>
      </c>
      <c r="G18" s="241">
        <f>PRODUCT($D18,$D3)</f>
        <v/>
      </c>
    </row>
    <row r="19" ht="12.75" customHeight="1" s="123">
      <c r="B19" s="237">
        <f>'Effort Summary'!B4</f>
        <v/>
      </c>
      <c r="C19" s="238">
        <f>'Effort Summary'!C4</f>
        <v/>
      </c>
      <c r="D19" s="239">
        <f>C19*(1-$C$14)</f>
        <v/>
      </c>
      <c r="E19" s="239">
        <f>CEILING(D19,0.5)</f>
        <v/>
      </c>
      <c r="F19" s="240">
        <f>E19*8</f>
        <v/>
      </c>
      <c r="G19" s="241">
        <f>PRODUCT($D19,$D3)</f>
        <v/>
      </c>
    </row>
    <row r="20" ht="12.75" customHeight="1" s="123">
      <c r="B20" s="237">
        <f>'Effort Summary'!B5</f>
        <v/>
      </c>
      <c r="C20" s="238">
        <f>'Effort Summary'!C5</f>
        <v/>
      </c>
      <c r="D20" s="239">
        <f>C20*(1-$C$14)</f>
        <v/>
      </c>
      <c r="E20" s="239">
        <f>CEILING(D20,0.5)</f>
        <v/>
      </c>
      <c r="F20" s="240">
        <f>E20*8</f>
        <v/>
      </c>
      <c r="G20" s="241">
        <f>PRODUCT($D20,$D4)</f>
        <v/>
      </c>
    </row>
    <row r="21" ht="12.75" customHeight="1" s="123">
      <c r="B21" s="237">
        <f>'Effort Summary'!B6</f>
        <v/>
      </c>
      <c r="C21" s="238">
        <f>'Effort Summary'!C6</f>
        <v/>
      </c>
      <c r="D21" s="239">
        <f>C21*(1-$C$14)</f>
        <v/>
      </c>
      <c r="E21" s="239">
        <f>CEILING(D21,0.5)</f>
        <v/>
      </c>
      <c r="F21" s="240">
        <f>E21*8</f>
        <v/>
      </c>
      <c r="G21" s="241">
        <f>PRODUCT($D21,$D4)</f>
        <v/>
      </c>
    </row>
    <row r="22" ht="12.75" customHeight="1" s="123">
      <c r="B22" s="237">
        <f>'Effort Summary'!B7</f>
        <v/>
      </c>
      <c r="C22" s="238">
        <f>'Effort Summary'!C7</f>
        <v/>
      </c>
      <c r="D22" s="239">
        <f>C22*(1-$C$14)</f>
        <v/>
      </c>
      <c r="E22" s="239">
        <f>CEILING(D22,0.5)</f>
        <v/>
      </c>
      <c r="F22" s="240">
        <f>E22*8</f>
        <v/>
      </c>
      <c r="G22" s="241">
        <f>PRODUCT($D22,$D5)</f>
        <v/>
      </c>
    </row>
    <row r="23" ht="12.75" customHeight="1" s="123">
      <c r="B23" s="237">
        <f>'Effort Summary'!B8</f>
        <v/>
      </c>
      <c r="C23" s="238">
        <f>'Effort Summary'!C8</f>
        <v/>
      </c>
      <c r="D23" s="239">
        <f>C23*(1-$C$14)</f>
        <v/>
      </c>
      <c r="E23" s="239">
        <f>CEILING(D23,0.5)</f>
        <v/>
      </c>
      <c r="F23" s="240">
        <f>E23*8</f>
        <v/>
      </c>
      <c r="G23" s="241">
        <f>PRODUCT($D23,$D6)</f>
        <v/>
      </c>
    </row>
    <row r="24" ht="12.75" customHeight="1" s="123">
      <c r="B24" s="237">
        <f>'Effort Summary'!B9</f>
        <v/>
      </c>
      <c r="C24" s="238">
        <f>'Effort Summary'!C9</f>
        <v/>
      </c>
      <c r="D24" s="239">
        <f>C24*(1-$C$14)</f>
        <v/>
      </c>
      <c r="E24" s="239">
        <f>CEILING(D24,0.5)</f>
        <v/>
      </c>
      <c r="F24" s="240">
        <f>E24*8</f>
        <v/>
      </c>
      <c r="G24" s="241">
        <f>PRODUCT($D24,$D4)</f>
        <v/>
      </c>
    </row>
    <row r="25" ht="12.75" customHeight="1" s="123">
      <c r="B25" s="237">
        <f>'Effort Summary'!B10</f>
        <v/>
      </c>
      <c r="C25" s="238">
        <f>'Effort Summary'!C10</f>
        <v/>
      </c>
      <c r="D25" s="239">
        <f>C25*(1-$C$14)</f>
        <v/>
      </c>
      <c r="E25" s="239">
        <f>CEILING(D25,0.5)</f>
        <v/>
      </c>
      <c r="F25" s="240">
        <f>E25*8</f>
        <v/>
      </c>
      <c r="G25" s="241">
        <f>PRODUCT($D25,$D7)</f>
        <v/>
      </c>
    </row>
    <row r="26" ht="12.75" customHeight="1" s="123">
      <c r="B26" s="237">
        <f>'Effort Summary'!B11</f>
        <v/>
      </c>
      <c r="C26" s="238">
        <f>'Effort Summary'!C11</f>
        <v/>
      </c>
      <c r="D26" s="239">
        <f>C26*(1-$C$14)</f>
        <v/>
      </c>
      <c r="E26" s="239">
        <f>CEILING(D26,0.5)</f>
        <v/>
      </c>
      <c r="F26" s="240">
        <f>E26*8</f>
        <v/>
      </c>
      <c r="G26" s="241">
        <f>PRODUCT($D26,$D3)</f>
        <v/>
      </c>
    </row>
    <row r="27" ht="12.75" customHeight="1" s="123">
      <c r="B27" s="237">
        <f>'Effort Summary'!B12</f>
        <v/>
      </c>
      <c r="C27" s="238">
        <f>'Effort Summary'!C12</f>
        <v/>
      </c>
      <c r="D27" s="239">
        <f>C27*(1-$C$14)</f>
        <v/>
      </c>
      <c r="E27" s="239">
        <f>CEILING(D27,0.5)</f>
        <v/>
      </c>
      <c r="F27" s="240">
        <f>E27*8</f>
        <v/>
      </c>
      <c r="G27" s="241">
        <f>PRODUCT($D27,$D3)</f>
        <v/>
      </c>
    </row>
    <row r="28" ht="12.75" customHeight="1" s="123">
      <c r="B28" s="237">
        <f>'Effort Summary'!B13</f>
        <v/>
      </c>
      <c r="C28" s="238">
        <f>'Effort Summary'!C13</f>
        <v/>
      </c>
      <c r="D28" s="239">
        <f>C28*(1-$C$14)</f>
        <v/>
      </c>
      <c r="E28" s="239">
        <f>CEILING(D28,0.5)</f>
        <v/>
      </c>
      <c r="F28" s="240">
        <f>E28*8</f>
        <v/>
      </c>
      <c r="G28" s="241">
        <f>PRODUCT($D28,$D$8)</f>
        <v/>
      </c>
    </row>
    <row r="29" ht="12.75" customHeight="1" s="123">
      <c r="B29" s="237">
        <f>'Effort Summary'!B14</f>
        <v/>
      </c>
      <c r="C29" s="238">
        <f>'Effort Summary'!C14</f>
        <v/>
      </c>
      <c r="D29" s="239">
        <f>C29*(1-$C$14)</f>
        <v/>
      </c>
      <c r="E29" s="239">
        <f>CEILING(D29,0.5)</f>
        <v/>
      </c>
      <c r="F29" s="240">
        <f>E29*8</f>
        <v/>
      </c>
      <c r="G29" s="241">
        <f>PRODUCT($D29,$D$8)</f>
        <v/>
      </c>
    </row>
    <row r="30" ht="12.75" customHeight="1" s="123">
      <c r="B30" s="237">
        <f>'Effort Summary'!B15</f>
        <v/>
      </c>
      <c r="C30" s="238">
        <f>'Effort Summary'!C15</f>
        <v/>
      </c>
      <c r="D30" s="239">
        <f>C30*(1-$C$14)</f>
        <v/>
      </c>
      <c r="E30" s="239">
        <f>CEILING(D30,0.5)</f>
        <v/>
      </c>
      <c r="F30" s="240">
        <f>E30*8</f>
        <v/>
      </c>
      <c r="G30" s="241">
        <f>PRODUCT($D30,$D4)</f>
        <v/>
      </c>
    </row>
    <row r="31" ht="12.75" customHeight="1" s="123">
      <c r="B31" s="237">
        <f>'Effort Summary'!B16</f>
        <v/>
      </c>
      <c r="C31" s="238">
        <f>'Effort Summary'!C16</f>
        <v/>
      </c>
      <c r="D31" s="239">
        <f>C31*(1-$C$14)</f>
        <v/>
      </c>
      <c r="E31" s="239">
        <f>CEILING(D31,0.5)</f>
        <v/>
      </c>
      <c r="F31" s="240">
        <f>E31*8</f>
        <v/>
      </c>
      <c r="G31" s="241">
        <f>PRODUCT($D31,$D5)</f>
        <v/>
      </c>
    </row>
    <row r="32" ht="12.75" customHeight="1" s="123">
      <c r="B32" s="202" t="inlineStr">
        <is>
          <t>Total</t>
        </is>
      </c>
      <c r="C32" s="242">
        <f>SUM(C18:C31)</f>
        <v/>
      </c>
      <c r="D32" s="242">
        <f>SUM(D18:D31)</f>
        <v/>
      </c>
      <c r="E32" s="242">
        <f>SUM(E18:E31)</f>
        <v/>
      </c>
      <c r="F32" s="240">
        <f>SUM(F18:F31)</f>
        <v/>
      </c>
      <c r="G32" s="243">
        <f>SUM(G18:G31)</f>
        <v/>
      </c>
    </row>
    <row r="33" ht="12.75" customHeight="1" s="123">
      <c r="B33" s="244" t="inlineStr">
        <is>
          <t>Blended Rate</t>
        </is>
      </c>
      <c r="C33" s="157" t="n"/>
      <c r="D33" s="157" t="n"/>
      <c r="E33" s="157" t="n"/>
      <c r="F33" s="158" t="n"/>
      <c r="G33" s="243">
        <f>($G$32/$D$32)/8</f>
        <v/>
      </c>
    </row>
    <row r="35" ht="15" customHeight="1" s="123">
      <c r="B35" s="124" t="inlineStr">
        <is>
          <t>Effort and Cost to Quote</t>
        </is>
      </c>
    </row>
    <row r="36" ht="25.5" customHeight="1" s="123">
      <c r="B36" s="125" t="inlineStr">
        <is>
          <t>Category</t>
        </is>
      </c>
      <c r="C36" s="126" t="inlineStr">
        <is>
          <t>Effort (Days)</t>
        </is>
      </c>
      <c r="D36" s="126" t="inlineStr">
        <is>
          <t>Effort (Hours)</t>
        </is>
      </c>
      <c r="E36" s="125" t="inlineStr">
        <is>
          <t>Cost</t>
        </is>
      </c>
    </row>
    <row r="37" ht="12.75" customHeight="1" s="123">
      <c r="B37" s="237" t="inlineStr">
        <is>
          <t>Analysis and Design</t>
        </is>
      </c>
      <c r="C37" s="239">
        <f>SUM(E18:E19)</f>
        <v/>
      </c>
      <c r="D37" s="240">
        <f>C37*8</f>
        <v/>
      </c>
      <c r="E37" s="241">
        <f>SUM(G18:G19)</f>
        <v/>
      </c>
    </row>
    <row r="38" ht="12.75" customHeight="1" s="123">
      <c r="B38" s="237">
        <f>B20</f>
        <v/>
      </c>
      <c r="C38" s="239">
        <f>E20</f>
        <v/>
      </c>
      <c r="D38" s="240">
        <f>C38*8</f>
        <v/>
      </c>
      <c r="E38" s="241">
        <f>G20</f>
        <v/>
      </c>
    </row>
    <row r="39" ht="12.75" customHeight="1" s="123">
      <c r="B39" s="237">
        <f>B21</f>
        <v/>
      </c>
      <c r="C39" s="239">
        <f>E21</f>
        <v/>
      </c>
      <c r="D39" s="240">
        <f>C39*8</f>
        <v/>
      </c>
      <c r="E39" s="241">
        <f>G21</f>
        <v/>
      </c>
    </row>
    <row r="40" ht="12.75" customHeight="1" s="123">
      <c r="B40" s="237" t="inlineStr">
        <is>
          <t>Test Planning</t>
        </is>
      </c>
      <c r="C40" s="239">
        <f>E22</f>
        <v/>
      </c>
      <c r="D40" s="240">
        <f>C40*8</f>
        <v/>
      </c>
      <c r="E40" s="241">
        <f>G22</f>
        <v/>
      </c>
    </row>
    <row r="41" ht="12.75" customHeight="1" s="123">
      <c r="B41" s="237" t="inlineStr">
        <is>
          <t>Testing</t>
        </is>
      </c>
      <c r="C41" s="239">
        <f>E23</f>
        <v/>
      </c>
      <c r="D41" s="240">
        <f>C41*8</f>
        <v/>
      </c>
      <c r="E41" s="241">
        <f>G23</f>
        <v/>
      </c>
    </row>
    <row r="42" ht="25.5" customHeight="1" s="123">
      <c r="B42" s="237" t="inlineStr">
        <is>
          <t>Defect Fixation during Internal Testing</t>
        </is>
      </c>
      <c r="C42" s="239">
        <f>E24</f>
        <v/>
      </c>
      <c r="D42" s="240">
        <f>C42*8</f>
        <v/>
      </c>
      <c r="E42" s="241">
        <f>G24</f>
        <v/>
      </c>
    </row>
    <row r="43" ht="25.5" customHeight="1" s="123">
      <c r="B43" s="237" t="inlineStr">
        <is>
          <t>User Manuals and Install Guides</t>
        </is>
      </c>
      <c r="C43" s="239">
        <f>E25</f>
        <v/>
      </c>
      <c r="D43" s="240">
        <f>C43*8</f>
        <v/>
      </c>
      <c r="E43" s="241">
        <f>G25</f>
        <v/>
      </c>
    </row>
    <row r="44" ht="12.75" customHeight="1" s="123">
      <c r="B44" s="237" t="inlineStr">
        <is>
          <t>Training</t>
        </is>
      </c>
      <c r="C44" s="239">
        <f>E26</f>
        <v/>
      </c>
      <c r="D44" s="240">
        <f>C44*8</f>
        <v/>
      </c>
      <c r="E44" s="241">
        <f>G26</f>
        <v/>
      </c>
    </row>
    <row r="45" ht="12.75" customHeight="1" s="123">
      <c r="B45" s="237" t="inlineStr">
        <is>
          <t>Deployment</t>
        </is>
      </c>
      <c r="C45" s="239">
        <f>E27</f>
        <v/>
      </c>
      <c r="D45" s="240">
        <f>C45*8</f>
        <v/>
      </c>
      <c r="E45" s="241">
        <f>G27</f>
        <v/>
      </c>
    </row>
    <row r="46" ht="12.75" customHeight="1" s="123">
      <c r="B46" s="237" t="inlineStr">
        <is>
          <t>Project Management</t>
        </is>
      </c>
      <c r="C46" s="239">
        <f>SUM(E28:E31)</f>
        <v/>
      </c>
      <c r="D46" s="240">
        <f>C46*8</f>
        <v/>
      </c>
      <c r="E46" s="241">
        <f>SUM(G28:G31)</f>
        <v/>
      </c>
      <c r="G46" s="122">
        <f>E46/D46</f>
        <v/>
      </c>
    </row>
    <row r="47" ht="12.75" customHeight="1" s="123">
      <c r="B47" s="202" t="inlineStr">
        <is>
          <t>Total</t>
        </is>
      </c>
      <c r="C47" s="242">
        <f>SUM(C37:C46)</f>
        <v/>
      </c>
      <c r="D47" s="242">
        <f>SUM(D37:D46)</f>
        <v/>
      </c>
      <c r="E47" s="245">
        <f>SUM(E37:E46)</f>
        <v/>
      </c>
    </row>
    <row r="49" ht="15" customHeight="1" s="123">
      <c r="B49" s="124" t="inlineStr">
        <is>
          <t>Total Support Cost</t>
        </is>
      </c>
    </row>
    <row r="50" ht="12.75" customHeight="1" s="123">
      <c r="B50" s="246" t="inlineStr">
        <is>
          <t>Man Months</t>
        </is>
      </c>
      <c r="C50" s="247" t="n">
        <v>1</v>
      </c>
    </row>
    <row r="51" ht="12.75" customHeight="1" s="123">
      <c r="B51" s="246" t="inlineStr">
        <is>
          <t>Man Days</t>
        </is>
      </c>
      <c r="C51" s="247" t="n">
        <v>5</v>
      </c>
    </row>
    <row r="52" ht="12.75" customHeight="1" s="123">
      <c r="B52" s="125" t="inlineStr">
        <is>
          <t>Category</t>
        </is>
      </c>
      <c r="C52" s="125" t="inlineStr">
        <is>
          <t>Hours per day</t>
        </is>
      </c>
      <c r="D52" s="125" t="inlineStr">
        <is>
          <t>Total Hours</t>
        </is>
      </c>
      <c r="E52" s="125" t="n"/>
      <c r="F52" s="125" t="inlineStr">
        <is>
          <t>Cost</t>
        </is>
      </c>
    </row>
    <row r="53" ht="12.75" customHeight="1" s="123">
      <c r="B53" s="129" t="inlineStr">
        <is>
          <t>Designers</t>
        </is>
      </c>
      <c r="C53" s="129" t="n">
        <v>0.5</v>
      </c>
      <c r="D53" s="204">
        <f>PRODUCT($C$51,$C53)</f>
        <v/>
      </c>
      <c r="E53" s="204" t="n"/>
      <c r="F53" s="248">
        <f>PRODUCT($D53,$C3)</f>
        <v/>
      </c>
    </row>
    <row r="54" ht="12.75" customHeight="1" s="123">
      <c r="B54" s="129" t="inlineStr">
        <is>
          <t>Developers</t>
        </is>
      </c>
      <c r="C54" s="129" t="n">
        <v>8</v>
      </c>
      <c r="D54" s="204">
        <f>PRODUCT($C$51,$C54)</f>
        <v/>
      </c>
      <c r="E54" s="204" t="n"/>
      <c r="F54" s="248">
        <f>PRODUCT($D54,$C4)</f>
        <v/>
      </c>
    </row>
    <row r="55" ht="12.75" customHeight="1" s="123">
      <c r="B55" s="129" t="inlineStr">
        <is>
          <t>Testers</t>
        </is>
      </c>
      <c r="C55" s="129" t="n">
        <v>1</v>
      </c>
      <c r="D55" s="204">
        <f>PRODUCT($C$51,$C55)</f>
        <v/>
      </c>
      <c r="E55" s="204" t="n"/>
      <c r="F55" s="248">
        <f>PRODUCT($D55,$C6)</f>
        <v/>
      </c>
    </row>
    <row r="56" ht="12.75" customHeight="1" s="123">
      <c r="B56" s="129" t="inlineStr">
        <is>
          <t>Managers</t>
        </is>
      </c>
      <c r="C56" s="129" t="n">
        <v>0.5</v>
      </c>
      <c r="D56" s="204">
        <f>PRODUCT($C$51,$C56)</f>
        <v/>
      </c>
      <c r="E56" s="204" t="n"/>
      <c r="F56" s="248">
        <f>PRODUCT($D56,$C8)</f>
        <v/>
      </c>
    </row>
    <row r="57" ht="12.75" customHeight="1" s="123">
      <c r="B57" s="202" t="inlineStr">
        <is>
          <t>Total</t>
        </is>
      </c>
      <c r="C57" s="157" t="n"/>
      <c r="D57" s="158" t="n"/>
      <c r="E57" s="249" t="n"/>
      <c r="F57" s="250">
        <f>SUM(F53:F56)</f>
        <v/>
      </c>
    </row>
  </sheetData>
  <mergeCells count="5">
    <mergeCell ref="D12:G12"/>
    <mergeCell ref="B57:D57"/>
    <mergeCell ref="B33:F33"/>
    <mergeCell ref="D11:G11"/>
    <mergeCell ref="D13:G1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CC99FF"/>
    <outlinePr summaryBelow="1" summaryRight="1"/>
    <pageSetUpPr fitToPage="0"/>
  </sheetPr>
  <dimension ref="B1:G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17" activeCellId="0" sqref="C17"/>
    </sheetView>
  </sheetViews>
  <sheetFormatPr baseColWidth="8" defaultColWidth="9.0546875" defaultRowHeight="12.75" customHeight="0" zeroHeight="0" outlineLevelRow="0"/>
  <cols>
    <col width="3.42" customWidth="1" style="122" min="1" max="1"/>
    <col width="27.56" customWidth="1" style="122" min="2" max="2"/>
    <col width="14.28" customWidth="1" style="122" min="3" max="3"/>
    <col width="17.85" customWidth="1" style="122" min="4" max="4"/>
    <col width="33.14" customWidth="1" style="122" min="5" max="5"/>
    <col width="13.7" customWidth="1" style="122" min="6" max="6"/>
  </cols>
  <sheetData>
    <row r="1" ht="15" customHeight="1" s="123">
      <c r="B1" s="124" t="inlineStr">
        <is>
          <t>Assumptions</t>
        </is>
      </c>
      <c r="C1" s="122" t="n"/>
    </row>
    <row r="2" ht="41.25" customHeight="1" s="123">
      <c r="B2" s="203" t="inlineStr">
        <is>
          <t>Test Planning, Documentation and Management activities are carried out in parallel to other main activities of design, development and testing</t>
        </is>
      </c>
      <c r="C2" s="157" t="n"/>
      <c r="D2" s="158" t="n"/>
    </row>
    <row r="3" ht="15.75" customHeight="1" s="123">
      <c r="B3" s="218" t="n"/>
      <c r="C3" s="168" t="n"/>
      <c r="D3" s="168" t="n"/>
    </row>
    <row r="4" ht="15" customHeight="1" s="123">
      <c r="B4" s="124" t="inlineStr">
        <is>
          <t>Resources</t>
        </is>
      </c>
      <c r="E4" s="124" t="inlineStr">
        <is>
          <t>Slacks</t>
        </is>
      </c>
    </row>
    <row r="5" ht="12.75" customHeight="1" s="123">
      <c r="B5" s="129" t="inlineStr">
        <is>
          <t>Designers</t>
        </is>
      </c>
      <c r="C5" s="129" t="n">
        <v>1</v>
      </c>
      <c r="E5" s="129" t="inlineStr">
        <is>
          <t>Initial Ramp-up</t>
        </is>
      </c>
      <c r="F5" s="129" t="n">
        <v>1</v>
      </c>
    </row>
    <row r="6" ht="12.75" customHeight="1" s="123">
      <c r="B6" s="129" t="inlineStr">
        <is>
          <t>Developers</t>
        </is>
      </c>
      <c r="C6" s="129" t="n">
        <v>1</v>
      </c>
      <c r="E6" s="129" t="inlineStr">
        <is>
          <t>Deployment for testing etc</t>
        </is>
      </c>
      <c r="F6" s="129" t="n">
        <v>1</v>
      </c>
    </row>
    <row r="7" ht="12.75" customHeight="1" s="123">
      <c r="B7" s="129" t="inlineStr">
        <is>
          <t>Testers</t>
        </is>
      </c>
      <c r="C7" s="129" t="n">
        <v>1</v>
      </c>
      <c r="E7" s="129" t="inlineStr">
        <is>
          <t>Code/Peer Reviews</t>
        </is>
      </c>
      <c r="F7" s="129" t="n">
        <v>1</v>
      </c>
    </row>
    <row r="8" ht="15" customHeight="1" s="123">
      <c r="B8" s="124" t="inlineStr">
        <is>
          <t>Others</t>
        </is>
      </c>
      <c r="C8" s="122" t="n"/>
      <c r="E8" s="129" t="inlineStr">
        <is>
          <t>Shipment Packaging &amp; Review</t>
        </is>
      </c>
      <c r="F8" s="129" t="n">
        <v>1</v>
      </c>
    </row>
    <row r="9" ht="25.5" customHeight="1" s="123">
      <c r="B9" s="203" t="inlineStr">
        <is>
          <t>Comunication Delay in Analysis and Design</t>
        </is>
      </c>
      <c r="C9" s="227" t="n">
        <v>0.25</v>
      </c>
      <c r="E9" s="208" t="inlineStr">
        <is>
          <t>Total Slack</t>
        </is>
      </c>
      <c r="F9" s="208">
        <f>SUM(F5:F8)</f>
        <v/>
      </c>
    </row>
    <row r="10" ht="25.5" customHeight="1" s="123">
      <c r="B10" s="203" t="inlineStr">
        <is>
          <t>Possible Critical Chain Delay in Development</t>
        </is>
      </c>
      <c r="C10" s="227" t="n">
        <v>0.15</v>
      </c>
    </row>
    <row r="11" ht="25.5" customHeight="1" s="123">
      <c r="B11" s="203" t="inlineStr">
        <is>
          <t>Possible Fixation Delay in Testing</t>
        </is>
      </c>
      <c r="C11" s="227" t="n">
        <v>0.2</v>
      </c>
    </row>
    <row r="12" ht="12.75" customHeight="1" s="123">
      <c r="B12" s="209" t="inlineStr">
        <is>
          <t>Working days in a month</t>
        </is>
      </c>
      <c r="C12" s="129" t="n">
        <v>21</v>
      </c>
    </row>
    <row r="13" ht="12.75" customHeight="1" s="123">
      <c r="B13" s="209" t="inlineStr">
        <is>
          <t>Ratio of calendar days</t>
        </is>
      </c>
      <c r="C13" s="204">
        <f>31/C12</f>
        <v/>
      </c>
    </row>
    <row r="15" ht="15" customHeight="1" s="123">
      <c r="B15" s="124" t="inlineStr">
        <is>
          <t>Project Plan - Waterfall</t>
        </is>
      </c>
    </row>
    <row r="16" ht="12.75" customHeight="1" s="123">
      <c r="B16" s="125" t="inlineStr">
        <is>
          <t>Phase</t>
        </is>
      </c>
      <c r="C16" s="125" t="inlineStr">
        <is>
          <t>Duration (days)</t>
        </is>
      </c>
      <c r="D16" s="125" t="inlineStr">
        <is>
          <t>Duration (months)</t>
        </is>
      </c>
    </row>
    <row r="17" ht="13.5" customHeight="1" s="123">
      <c r="B17" s="230" t="inlineStr">
        <is>
          <t>Requirements/Design Phase</t>
        </is>
      </c>
      <c r="C17" s="238">
        <f>(Cost!$C37/$C5)*($C$9+1)</f>
        <v/>
      </c>
      <c r="D17" s="251">
        <f>INT($C17/$C$12)&amp;" Month "&amp;ROUND(MOD($C17,$C$12)*$C$13,0)&amp;" Day"</f>
        <v/>
      </c>
    </row>
    <row r="18" ht="12.75" customHeight="1" s="123">
      <c r="B18" s="129" t="inlineStr">
        <is>
          <t>Development Phase</t>
        </is>
      </c>
      <c r="C18" s="238">
        <f>(Cost!$C38/$C6)*($C$10+1)</f>
        <v/>
      </c>
      <c r="D18" s="251">
        <f>INT($C18/$C$12)&amp;" Month "&amp;ROUND(MOD($C18,$C$12)*$C$13,0)&amp;" Day"</f>
        <v/>
      </c>
      <c r="E18" s="252" t="n"/>
    </row>
    <row r="19" ht="12.75" customHeight="1" s="123">
      <c r="B19" s="230" t="inlineStr">
        <is>
          <t>Testing Phase</t>
        </is>
      </c>
      <c r="C19" s="238">
        <f>(Cost!$C41/$C7)*($C$11+1)</f>
        <v/>
      </c>
      <c r="D19" s="251">
        <f>INT($C19/$C$12)&amp;" Month "&amp;ROUND(MOD($C19,$C$12)*$C$13,0)&amp;" Day"</f>
        <v/>
      </c>
    </row>
    <row r="20" ht="12.75" customHeight="1" s="123">
      <c r="B20" s="202" t="inlineStr">
        <is>
          <t>Total</t>
        </is>
      </c>
      <c r="C20" s="242">
        <f>SUM(C17:C19)</f>
        <v/>
      </c>
      <c r="D20" s="253">
        <f>INT($C20/$C$12)&amp;" Month "&amp;ROUND(MOD($C20,$C$12)*$C$13,0)&amp;" Day"</f>
        <v/>
      </c>
    </row>
    <row r="21" ht="12.75" customHeight="1" s="123">
      <c r="B21" s="202" t="inlineStr">
        <is>
          <t>Slack</t>
        </is>
      </c>
      <c r="C21" s="242">
        <f>$F$9</f>
        <v/>
      </c>
      <c r="D21" s="253" t="n"/>
    </row>
    <row r="22" ht="12.75" customHeight="1" s="123">
      <c r="B22" s="202" t="inlineStr">
        <is>
          <t>Grand Total</t>
        </is>
      </c>
      <c r="C22" s="242">
        <f>SUM(C20:C21)</f>
        <v/>
      </c>
      <c r="D22" s="253">
        <f>INT($C22/$C$12)&amp;" Month "&amp;ROUND(MOD($C22,$C$12)*$C$13,0)&amp;" Day"</f>
        <v/>
      </c>
    </row>
    <row r="24" ht="15" customHeight="1" s="123">
      <c r="B24" s="124" t="inlineStr">
        <is>
          <t>Iterative Plan</t>
        </is>
      </c>
    </row>
    <row r="25" ht="25.5" customHeight="1" s="123">
      <c r="B25" s="125" t="inlineStr">
        <is>
          <t>Iterations</t>
        </is>
      </c>
      <c r="C25" s="220" t="n">
        <v>2</v>
      </c>
      <c r="D25" s="126" t="inlineStr">
        <is>
          <t>Iteration Duration (without Slacks)</t>
        </is>
      </c>
      <c r="E25" s="125" t="inlineStr">
        <is>
          <t>Requirements/Design</t>
        </is>
      </c>
      <c r="F25" s="125" t="inlineStr">
        <is>
          <t xml:space="preserve">Development </t>
        </is>
      </c>
      <c r="G25" s="125" t="inlineStr">
        <is>
          <t>Testing</t>
        </is>
      </c>
    </row>
    <row r="26" ht="12.75" customHeight="1" s="123">
      <c r="B26" s="254" t="n">
        <v>1</v>
      </c>
      <c r="C26" s="227">
        <f>IF(($C$25-$B26)&lt;0,0,1/$C$25)</f>
        <v/>
      </c>
      <c r="D26" s="205">
        <f>($C$20*$C26)</f>
        <v/>
      </c>
      <c r="E26" s="238">
        <f>CEILING(($C$17/$C$20)*$D26,1)</f>
        <v/>
      </c>
      <c r="F26" s="238">
        <f>CEILING(($C$18/$C$20)*$D26,1)</f>
        <v/>
      </c>
      <c r="G26" s="238">
        <f>CEILING(($C$19/$C$20)*$D26,1)</f>
        <v/>
      </c>
    </row>
    <row r="27" ht="12.75" customHeight="1" s="123">
      <c r="B27" s="254" t="n">
        <v>2</v>
      </c>
      <c r="C27" s="227">
        <f>IF(($C$25-$B27)&lt;0,0,1/$C$25)</f>
        <v/>
      </c>
      <c r="D27" s="205">
        <f>($C$20*$C27)</f>
        <v/>
      </c>
      <c r="E27" s="238">
        <f>CEILING(($C$17/$C$20)*$D27,1)</f>
        <v/>
      </c>
      <c r="F27" s="238">
        <f>CEILING(($C$18/$C$20)*$D27,1)</f>
        <v/>
      </c>
      <c r="G27" s="238">
        <f>CEILING(($C$19/$C$20)*$D27,1)</f>
        <v/>
      </c>
    </row>
    <row r="28" ht="12.75" customHeight="1" s="123">
      <c r="B28" s="254" t="n">
        <v>3</v>
      </c>
      <c r="C28" s="227">
        <f>IF(($C$25-$B28)&lt;0,0,1/$C$25)</f>
        <v/>
      </c>
      <c r="D28" s="205">
        <f>($C$20*$C28)</f>
        <v/>
      </c>
      <c r="E28" s="238">
        <f>CEILING(($C$17/$C$20)*$D28,1)</f>
        <v/>
      </c>
      <c r="F28" s="238">
        <f>CEILING(($C$18/$C$20)*$D28,1)</f>
        <v/>
      </c>
      <c r="G28" s="238">
        <f>CEILING(($C$19/$C$20)*$D28,1)</f>
        <v/>
      </c>
    </row>
    <row r="29" ht="12.75" customHeight="1" s="123">
      <c r="B29" s="254" t="n">
        <v>4</v>
      </c>
      <c r="C29" s="227">
        <f>IF(($C$25-$B29)&lt;0,0,1/$C$25)</f>
        <v/>
      </c>
      <c r="D29" s="205">
        <f>($C$20*$C29)</f>
        <v/>
      </c>
      <c r="E29" s="238">
        <f>CEILING(($C$17/$C$20)*$D29,1)</f>
        <v/>
      </c>
      <c r="F29" s="238">
        <f>CEILING(($C$18/$C$20)*$D29,1)</f>
        <v/>
      </c>
      <c r="G29" s="238">
        <f>CEILING(($C$19/$C$20)*$D29,1)</f>
        <v/>
      </c>
    </row>
    <row r="30" ht="12.75" customHeight="1" s="123">
      <c r="B30" s="254" t="n">
        <v>5</v>
      </c>
      <c r="C30" s="227">
        <f>IF(($C$25-$B30)&lt;0,0,1/$C$25)</f>
        <v/>
      </c>
      <c r="D30" s="205">
        <f>($C$20*$C30)</f>
        <v/>
      </c>
      <c r="E30" s="238">
        <f>CEILING(($C$17/$C$20)*$D30,1)</f>
        <v/>
      </c>
      <c r="F30" s="238">
        <f>CEILING(($C$18/$C$20)*$D30,1)</f>
        <v/>
      </c>
      <c r="G30" s="238">
        <f>CEILING(($C$19/$C$20)*$D30,1)</f>
        <v/>
      </c>
    </row>
    <row r="31" ht="12.75" customHeight="1" s="123">
      <c r="B31" s="255" t="inlineStr">
        <is>
          <t>Total</t>
        </is>
      </c>
      <c r="C31" s="221">
        <f>SUM(C26:C30)</f>
        <v/>
      </c>
    </row>
  </sheetData>
  <mergeCells count="1">
    <mergeCell ref="B2:D2"/>
  </mergeCells>
  <conditionalFormatting sqref="C31">
    <cfRule type="cellIs" rank="0" priority="2" equalAverage="0" operator="greaterThan" aboveAverage="0" dxfId="0" text="" percent="0" bottom="0">
      <formula>1</formula>
    </cfRule>
    <cfRule type="cellIs" rank="0" priority="3" equalAverage="0" operator="lessThan" aboveAverage="0" dxfId="0" text="" percent="0" bottom="0">
      <formula>1</formula>
    </cfRule>
  </conditionalFormatting>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CC99FF"/>
    <outlinePr summaryBelow="1" summaryRight="1"/>
    <pageSetUpPr fitToPage="0"/>
  </sheetPr>
  <dimension ref="B1:F33"/>
  <sheetViews>
    <sheetView showFormulas="0" showGridLines="1" showRowColHeaders="1" showZeros="1" rightToLeft="0" tabSelected="0" showOutlineSymbols="1" defaultGridColor="1" view="normal" topLeftCell="A11" colorId="64" zoomScale="100" zoomScaleNormal="100" zoomScalePageLayoutView="100" workbookViewId="0">
      <selection pane="topLeft" activeCell="E13" activeCellId="0" sqref="E13"/>
    </sheetView>
  </sheetViews>
  <sheetFormatPr baseColWidth="8" defaultColWidth="9.0546875" defaultRowHeight="12.75" customHeight="0" zeroHeight="0" outlineLevelRow="0"/>
  <cols>
    <col width="3.42" customWidth="1" style="122" min="1" max="1"/>
    <col width="27.56" customWidth="1" style="122" min="2" max="2"/>
    <col width="14.28" customWidth="1" style="122" min="3" max="3"/>
    <col width="17.85" customWidth="1" style="122" min="4" max="4"/>
    <col width="33.14" customWidth="1" style="122" min="5" max="5"/>
    <col width="13.7" customWidth="1" style="122" min="6" max="6"/>
  </cols>
  <sheetData>
    <row r="1" ht="15" customHeight="1" s="123">
      <c r="B1" s="124" t="inlineStr">
        <is>
          <t>Assumptions</t>
        </is>
      </c>
      <c r="C1" s="122" t="n"/>
    </row>
    <row r="2" ht="41.25" customHeight="1" s="123">
      <c r="B2" s="203" t="inlineStr">
        <is>
          <t>Test Planning, Documentation and Management activities are carried out in parallel to other main activities of design, development and testing</t>
        </is>
      </c>
      <c r="C2" s="157" t="n"/>
      <c r="D2" s="158" t="n"/>
    </row>
    <row r="3" ht="15.75" customHeight="1" s="123">
      <c r="B3" s="218" t="n"/>
      <c r="C3" s="168" t="n"/>
      <c r="D3" s="168" t="n"/>
    </row>
    <row r="4" ht="15" customHeight="1" s="123">
      <c r="B4" s="124" t="inlineStr">
        <is>
          <t>Resources</t>
        </is>
      </c>
      <c r="E4" s="124" t="inlineStr">
        <is>
          <t>Slacks</t>
        </is>
      </c>
    </row>
    <row r="5" ht="12.75" customHeight="1" s="123">
      <c r="B5" s="129" t="inlineStr">
        <is>
          <t>Business Analyst</t>
        </is>
      </c>
      <c r="C5" s="129" t="n">
        <v>1</v>
      </c>
      <c r="E5" s="129" t="inlineStr">
        <is>
          <t>Initial Ramp-up</t>
        </is>
      </c>
      <c r="F5" s="129" t="n">
        <v>1</v>
      </c>
    </row>
    <row r="6" ht="12.75" customHeight="1" s="123">
      <c r="B6" s="129" t="inlineStr">
        <is>
          <t>Architects &amp; Designers</t>
        </is>
      </c>
      <c r="C6" s="129" t="n">
        <v>1</v>
      </c>
      <c r="E6" s="129" t="inlineStr">
        <is>
          <t>Deployment for testing etc</t>
        </is>
      </c>
      <c r="F6" s="129" t="n">
        <v>1</v>
      </c>
    </row>
    <row r="7" ht="12.75" customHeight="1" s="123">
      <c r="B7" s="129" t="inlineStr">
        <is>
          <t>Developers</t>
        </is>
      </c>
      <c r="C7" s="129" t="n">
        <v>1</v>
      </c>
      <c r="E7" s="129" t="inlineStr">
        <is>
          <t>Code/Peer Reviews</t>
        </is>
      </c>
      <c r="F7" s="129" t="n">
        <v>1</v>
      </c>
    </row>
    <row r="8" ht="12.75" customHeight="1" s="123">
      <c r="B8" s="129" t="inlineStr">
        <is>
          <t>Testers</t>
        </is>
      </c>
      <c r="C8" s="129" t="n">
        <v>1</v>
      </c>
      <c r="E8" s="129" t="inlineStr">
        <is>
          <t>Shipment Packaging &amp; Review</t>
        </is>
      </c>
      <c r="F8" s="129" t="n">
        <v>1</v>
      </c>
    </row>
    <row r="9" ht="15" customHeight="1" s="123">
      <c r="B9" s="124" t="inlineStr">
        <is>
          <t>Others</t>
        </is>
      </c>
      <c r="C9" s="122" t="n"/>
      <c r="E9" s="208" t="inlineStr">
        <is>
          <t>Total Slack</t>
        </is>
      </c>
      <c r="F9" s="208">
        <f>SUM(F4:F8)</f>
        <v/>
      </c>
    </row>
    <row r="10" ht="25.5" customHeight="1" s="123">
      <c r="B10" s="203" t="inlineStr">
        <is>
          <t>Comunication Delay in Analysis and Design</t>
        </is>
      </c>
      <c r="C10" s="227" t="n">
        <v>0.25</v>
      </c>
    </row>
    <row r="11" ht="25.5" customHeight="1" s="123">
      <c r="B11" s="203" t="inlineStr">
        <is>
          <t>Possible Critical Chain Delay in Development</t>
        </is>
      </c>
      <c r="C11" s="227" t="n">
        <v>0.15</v>
      </c>
    </row>
    <row r="12" ht="25.5" customHeight="1" s="123">
      <c r="B12" s="203" t="inlineStr">
        <is>
          <t>Possible Fixation Delay in Testing</t>
        </is>
      </c>
      <c r="C12" s="227" t="n">
        <v>0.2</v>
      </c>
    </row>
    <row r="13" ht="12.75" customHeight="1" s="123">
      <c r="B13" s="209" t="inlineStr">
        <is>
          <t>Working days in a month</t>
        </is>
      </c>
      <c r="C13" s="129" t="n">
        <v>21</v>
      </c>
    </row>
    <row r="14" ht="12.75" customHeight="1" s="123">
      <c r="B14" s="209" t="inlineStr">
        <is>
          <t>Ratio of calendar days</t>
        </is>
      </c>
      <c r="C14" s="204">
        <f>31/C13</f>
        <v/>
      </c>
    </row>
    <row r="16" ht="15" customHeight="1" s="123">
      <c r="B16" s="124" t="inlineStr">
        <is>
          <t>Project Plan - Waterfall</t>
        </is>
      </c>
    </row>
    <row r="17" ht="12.75" customHeight="1" s="123">
      <c r="B17" s="125" t="inlineStr">
        <is>
          <t>Phase</t>
        </is>
      </c>
      <c r="C17" s="125" t="inlineStr">
        <is>
          <t>Duration (days)</t>
        </is>
      </c>
      <c r="D17" s="125" t="inlineStr">
        <is>
          <t>Duration (months)</t>
        </is>
      </c>
    </row>
    <row r="18" ht="13.5" customHeight="1" s="123">
      <c r="B18" s="230" t="inlineStr">
        <is>
          <t>Requirements Analysis</t>
        </is>
      </c>
      <c r="C18" s="238">
        <f>(Cost!$E18/$C5)*($C$10+1)</f>
        <v/>
      </c>
      <c r="D18" s="251">
        <f>INT($C18/$C$13)&amp;" Month "&amp;ROUND(MOD($C18,$C$13)*$C$14,0)&amp;" Day"</f>
        <v/>
      </c>
    </row>
    <row r="19" ht="13.5" customHeight="1" s="123">
      <c r="B19" s="230" t="inlineStr">
        <is>
          <t>Design Phase</t>
        </is>
      </c>
      <c r="C19" s="238">
        <f>(Cost!$E19/$C6)*($C$10+1)</f>
        <v/>
      </c>
      <c r="D19" s="251">
        <f>INT($C19/$C$13)&amp;" Month "&amp;ROUND(MOD($C19,$C$13)*$C$14,0)&amp;" Day"</f>
        <v/>
      </c>
    </row>
    <row r="20" ht="12.75" customHeight="1" s="123">
      <c r="B20" s="129" t="inlineStr">
        <is>
          <t>Development Phase</t>
        </is>
      </c>
      <c r="C20" s="238">
        <f>(Cost!$E20/$C7)*($C$11+1)</f>
        <v/>
      </c>
      <c r="D20" s="251">
        <f>INT($C20/$C$13)&amp;" Month "&amp;ROUND(MOD($C20,$C$13)*$C$14,0)&amp;" Day"</f>
        <v/>
      </c>
      <c r="E20" s="252" t="n"/>
    </row>
    <row r="21" ht="12.75" customHeight="1" s="123">
      <c r="B21" s="230" t="inlineStr">
        <is>
          <t>Testing Phase</t>
        </is>
      </c>
      <c r="C21" s="238">
        <f>(Cost!$E23/$C8)*($C$12+1)</f>
        <v/>
      </c>
      <c r="D21" s="251">
        <f>INT($C21/$C$13)&amp;" Month "&amp;ROUND(MOD($C21,$C$13)*$C$14,0)&amp;" Day"</f>
        <v/>
      </c>
    </row>
    <row r="22" ht="12.75" customHeight="1" s="123">
      <c r="B22" s="202" t="inlineStr">
        <is>
          <t>Total</t>
        </is>
      </c>
      <c r="C22" s="242">
        <f>SUM(C18:C21)</f>
        <v/>
      </c>
      <c r="D22" s="253">
        <f>INT($C22/$C$13)&amp;" Month "&amp;ROUND(MOD($C22,$C$13)*$C$14,0)&amp;" Day"</f>
        <v/>
      </c>
    </row>
    <row r="23" ht="12.75" customHeight="1" s="123">
      <c r="B23" s="202" t="inlineStr">
        <is>
          <t>Slack</t>
        </is>
      </c>
      <c r="C23" s="242">
        <f>F9</f>
        <v/>
      </c>
      <c r="D23" s="253" t="n"/>
    </row>
    <row r="24" ht="12.75" customHeight="1" s="123">
      <c r="B24" s="202" t="inlineStr">
        <is>
          <t>Grand Total</t>
        </is>
      </c>
      <c r="C24" s="242">
        <f>SUM(C22:C23)</f>
        <v/>
      </c>
      <c r="D24" s="253">
        <f>INT($C24/$C$13)&amp;" Month "&amp;ROUND(MOD($C24,$C$13)*$C$14,0)&amp;" Day"</f>
        <v/>
      </c>
    </row>
    <row r="26" ht="15" customHeight="1" s="123">
      <c r="B26" s="124" t="inlineStr">
        <is>
          <t>Iterative Plan</t>
        </is>
      </c>
    </row>
    <row r="27" ht="25.5" customHeight="1" s="123">
      <c r="B27" s="125" t="inlineStr">
        <is>
          <t>Iterations</t>
        </is>
      </c>
      <c r="C27" s="220" t="n">
        <v>3</v>
      </c>
      <c r="D27" s="126" t="inlineStr">
        <is>
          <t>Iteration Duration (without Slacks)</t>
        </is>
      </c>
      <c r="E27" s="125" t="inlineStr">
        <is>
          <t>Comments</t>
        </is>
      </c>
    </row>
    <row r="28" ht="25.5" customHeight="1" s="123">
      <c r="B28" s="254" t="n">
        <v>1</v>
      </c>
      <c r="C28" s="227" t="n">
        <v>0.2</v>
      </c>
      <c r="D28" s="205">
        <f>ROUNDUP(C18+C19,0)+ROUNDUP($C$20*$C28,0)</f>
        <v/>
      </c>
      <c r="E28" s="256" t="inlineStr">
        <is>
          <t>Includes A&amp;D Phase plus percentage of Development Phase</t>
        </is>
      </c>
    </row>
    <row r="29" ht="12.75" customHeight="1" s="123">
      <c r="B29" s="254" t="n">
        <v>2</v>
      </c>
      <c r="C29" s="227" t="n">
        <v>0.5</v>
      </c>
      <c r="D29" s="205">
        <f>ROUNDUP($C$20*$C29,0)</f>
        <v/>
      </c>
      <c r="E29" s="256" t="inlineStr">
        <is>
          <t>Percentage of development phase</t>
        </is>
      </c>
    </row>
    <row r="30" ht="25.5" customHeight="1" s="123">
      <c r="B30" s="254" t="n">
        <v>3</v>
      </c>
      <c r="C30" s="227" t="n">
        <v>0.3</v>
      </c>
      <c r="D30" s="205">
        <f>ROUNDUP($C$20*$C30,0)+ROUNDUP($C$21,0)</f>
        <v/>
      </c>
      <c r="E30" s="256" t="inlineStr">
        <is>
          <t>Percentage of development phase and testing</t>
        </is>
      </c>
    </row>
    <row r="31" ht="12.75" customHeight="1" s="123">
      <c r="B31" s="254" t="n">
        <v>4</v>
      </c>
      <c r="C31" s="227">
        <f>IF(($C$27-$B31)&lt;0,0,1/$C$27)</f>
        <v/>
      </c>
      <c r="D31" s="205">
        <f>($C$22*$C31)</f>
        <v/>
      </c>
      <c r="E31" s="257">
        <f>($C$18/$C$22)*$D31</f>
        <v/>
      </c>
    </row>
    <row r="32" ht="12.75" customHeight="1" s="123">
      <c r="B32" s="254" t="n">
        <v>5</v>
      </c>
      <c r="C32" s="227">
        <f>IF(($C$27-$B32)&lt;0,0,1/$C$27)</f>
        <v/>
      </c>
      <c r="D32" s="205">
        <f>($C$22*$C32)</f>
        <v/>
      </c>
      <c r="E32" s="257">
        <f>($C$18/$C$22)*$D32</f>
        <v/>
      </c>
    </row>
    <row r="33" ht="12.75" customHeight="1" s="123">
      <c r="B33" s="255" t="inlineStr">
        <is>
          <t>Total</t>
        </is>
      </c>
      <c r="C33" s="221">
        <f>SUM(C28:C32)</f>
        <v/>
      </c>
    </row>
  </sheetData>
  <mergeCells count="1">
    <mergeCell ref="B2:D2"/>
  </mergeCells>
  <conditionalFormatting sqref="C33">
    <cfRule type="cellIs" rank="0" priority="2" equalAverage="0" operator="greaterThan" aboveAverage="0" dxfId="0" text="" percent="0" bottom="0">
      <formula>1</formula>
    </cfRule>
    <cfRule type="cellIs" rank="0" priority="3" equalAverage="0" operator="lessThan" aboveAverage="0" dxfId="0" text="" percent="0" bottom="0">
      <formula>1</formula>
    </cfRule>
  </conditionalFormatting>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Faisal Saeed</dc:creator>
  <dc:language>en-US</dc:language>
  <dcterms:created xsi:type="dcterms:W3CDTF">2006-03-08T02:52:29Z</dcterms:created>
  <dcterms:modified xsi:type="dcterms:W3CDTF">2026-09-28T15:33:19Z</dcterms:modified>
  <cp:lastModifiedBy>fsaeed</cp:lastModifiedBy>
  <cp:revision>0</cp:revision>
  <cp:lastPrinted>2007-05-30T23:57:02Z</cp:lastPrinted>
</cp:coreProperties>
</file>